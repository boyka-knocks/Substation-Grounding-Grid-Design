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Design" sheetId="1" state="visible" r:id="rId3"/>
    <sheet name="Sweep A" sheetId="2" state="visible" r:id="rId4"/>
    <sheet name="Sweep B" sheetId="3" state="visible" r:id="rId5"/>
    <sheet name="Sweep c" sheetId="4" state="visible" r:id="rId6"/>
    <sheet name="Sweep D" sheetId="5" state="visible" r:id="rId7"/>
    <sheet name="Unit Rates" sheetId="6" state="visible" r:id="rId8"/>
    <sheet name="Design Comparison" sheetId="7" state="visible" r:id="rId9"/>
    <sheet name="Budget vs Benchmar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Installed cost in BDT of grid conductor + ground rods + exothermic joints (supply + labour). Excludes surface layer, testing, mark-ups and VAT – see 'Budget vs Benchmark'. Rates on 'Unit Rates' sheet.</t>
        </r>
      </text>
    </comment>
    <comment ref="M1" authorId="0">
      <text>
        <r>
          <rPr>
            <sz val="10"/>
            <rFont val="Arial"/>
            <family val="2"/>
          </rPr>
          <t xml:space="preserve">Read from column B (e.g. '5x5' = 5 conductors in each direction). Numeric copy so the cost formulas can calculate.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Installed cost in BDT of grid conductor + ground rods + exothermic joints (supply + labour). Excludes surface layer, testing, mark-ups and VAT – see 'Budget vs Benchmark'. Rates on 'Unit Rates' sheet.</t>
        </r>
      </text>
    </comment>
    <comment ref="M1" authorId="0">
      <text>
        <r>
          <rPr>
            <sz val="10"/>
            <rFont val="Arial"/>
            <family val="2"/>
          </rPr>
          <t xml:space="preserve">Read from column B (e.g. '5x5' = 5 conductors in each direction). Numeric copy so the cost formulas can calculate.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Installed cost in BDT of grid conductor + ground rods + exothermic joints (supply + labour). Excludes surface layer, testing, mark-ups and VAT – see 'Budget vs Benchmark'. Rates on 'Unit Rates' sheet.</t>
        </r>
      </text>
    </comment>
    <comment ref="M1" authorId="0">
      <text>
        <r>
          <rPr>
            <sz val="10"/>
            <rFont val="Arial"/>
            <family val="2"/>
          </rPr>
          <t xml:space="preserve">Read from column B (e.g. '5x5' = 5 conductors in each direction). Numeric copy so the cost formulas can calculate.</t>
        </r>
      </text>
    </comment>
  </commentList>
</comments>
</file>

<file path=xl/sharedStrings.xml><?xml version="1.0" encoding="utf-8"?>
<sst xmlns="http://schemas.openxmlformats.org/spreadsheetml/2006/main" count="441" uniqueCount="295">
  <si>
    <t xml:space="preserve">FINAL DESIGN – 33 kV substation grounding grid (30 × 30 m yard), CYMGRD 6.3 / IEEE Std 80</t>
  </si>
  <si>
    <t xml:space="preserve">Design description</t>
  </si>
  <si>
    <t xml:space="preserve">Grid</t>
  </si>
  <si>
    <t xml:space="preserve">6 × 6 bare annealed Cu conductors, 70 mm² (9.44 mm), 6 m mesh, 0.5 m depth, 0–30 m</t>
  </si>
  <si>
    <t xml:space="preserve">Perimeter ring</t>
  </si>
  <si>
    <t xml:space="preserve">32 × 32 m ring 1 m outside the fence (−1 to 31 m), 6 elements/side, tied to all 24 grid-line ends</t>
  </si>
  <si>
    <t xml:space="preserve">Ground rods</t>
  </si>
  <si>
    <t xml:space="preserve">20 × 16 mm Cu-bonded steel, 9 m (3 × 3 m sections) on the ring – corners + every 6 m</t>
  </si>
  <si>
    <t xml:space="preserve">Joints</t>
  </si>
  <si>
    <t xml:space="preserve">Exothermic welds at all crossings, ties and rod connections</t>
  </si>
  <si>
    <t xml:space="preserve">Fence</t>
  </si>
  <si>
    <t xml:space="preserve">On the 30 × 30 m line, bonded to the grid; gate swings inward</t>
  </si>
  <si>
    <t xml:space="preserve">Surface layer</t>
  </si>
  <si>
    <t xml:space="preserve">0.1 m wet crushed rock (2500 Ω·m), extended ≥1.5 m outside the fence</t>
  </si>
  <si>
    <t xml:space="preserve">Fault basis</t>
  </si>
  <si>
    <t xml:space="preserve">13,110 A LG at B1 (33 kV), X/R 45, t = 0.5 s, split factor 0.276, decrement 1.134</t>
  </si>
  <si>
    <t xml:space="preserve">Safety verification</t>
  </si>
  <si>
    <t xml:space="preserve">Check</t>
  </si>
  <si>
    <t xml:space="preserve">Worst value (V)</t>
  </si>
  <si>
    <t xml:space="preserve">Limit (V)</t>
  </si>
  <si>
    <t xml:space="preserve">Margin</t>
  </si>
  <si>
    <t xml:space="preserve">Result</t>
  </si>
  <si>
    <t xml:space="preserve">Source</t>
  </si>
  <si>
    <t xml:space="preserve">Touch – inside the grid</t>
  </si>
  <si>
    <t xml:space="preserve">Profile (−1,−1)→(31,31)</t>
  </si>
  <si>
    <t xml:space="preserve">Touch – 1 m outside the fence</t>
  </si>
  <si>
    <t xml:space="preserve">Profile (−1,−1)→(31,−1)</t>
  </si>
  <si>
    <t xml:space="preserve">Step – everywhere (to 6 m outside)</t>
  </si>
  <si>
    <t xml:space="preserve">Profile (−6,−6)→(36,36)</t>
  </si>
  <si>
    <t xml:space="preserve">Overall result</t>
  </si>
  <si>
    <t xml:space="preserve">Governing margin (lowest touch margin)</t>
  </si>
  <si>
    <t xml:space="preserve">GPR (V)</t>
  </si>
  <si>
    <t xml:space="preserve">Split factor used / max split factor before touch limit is reached</t>
  </si>
  <si>
    <t xml:space="preserve">Touch scales linearly with grid current, so the design stays safe while Sf is below this value</t>
  </si>
  <si>
    <t xml:space="preserve">Cost (Bangladesh market, Sep-2026)</t>
  </si>
  <si>
    <t xml:space="preserve">Installed grid + ring + rods + joints (direct)</t>
  </si>
  <si>
    <t xml:space="preserve">TOTAL budget incl. crushed rock, tests, OH&amp;P, contingency, VAT (BDT)</t>
  </si>
  <si>
    <t xml:space="preserve">TOTAL budget (lakh BDT)</t>
  </si>
  <si>
    <t xml:space="preserve">TOTAL budget (USD)</t>
  </si>
  <si>
    <t xml:space="preserve">Grid-only budget incl. mark-ups (excl. crushed rock)</t>
  </si>
  <si>
    <t xml:space="preserve">Typical earthing budget range – low</t>
  </si>
  <si>
    <t xml:space="preserve">Typical earthing budget range – high</t>
  </si>
  <si>
    <t xml:space="preserve">Grid-only budget vs typical range</t>
  </si>
  <si>
    <t xml:space="preserve">Full budget vs typical range</t>
  </si>
  <si>
    <t xml:space="preserve">Why 6×6 + ring over the cheaper 5×5 + ring</t>
  </si>
  <si>
    <t xml:space="preserve">Item</t>
  </si>
  <si>
    <t xml:space="preserve">6×6 + ring (FINAL)</t>
  </si>
  <si>
    <t xml:space="preserve">5×5 + ring</t>
  </si>
  <si>
    <t xml:space="preserve">Difference</t>
  </si>
  <si>
    <t xml:space="preserve">Touch inside (V)</t>
  </si>
  <si>
    <t xml:space="preserve">Touch margin inside</t>
  </si>
  <si>
    <t xml:space="preserve">Touch at fence (V)</t>
  </si>
  <si>
    <t xml:space="preserve">Max tolerable split factor</t>
  </si>
  <si>
    <t xml:space="preserve">Total budget (BDT)</t>
  </si>
  <si>
    <t xml:space="preserve">Decision</t>
  </si>
  <si>
    <t xml:space="preserve">6×6 + ring gives ~7 percentage points more touch margin inside the grid and tolerates a higher split factor, for about 6% (≈৳1.9 lakh) more total budget. Both perform alike at the fence (the ring governs there). Unverified inputs (soil model, split factor) justify the larger margin.</t>
  </si>
  <si>
    <t xml:space="preserve">Design history</t>
  </si>
  <si>
    <t xml:space="preserve">Stage</t>
  </si>
  <si>
    <t xml:space="preserve">Design</t>
  </si>
  <si>
    <t xml:space="preserve">Outcome</t>
  </si>
  <si>
    <t xml:space="preserve">1 – Parametric sweep</t>
  </si>
  <si>
    <t xml:space="preserve">6×6, 20 rods × 9 m (best of sweeps A–C)</t>
  </si>
  <si>
    <t xml:space="preserve">Not checked</t>
  </si>
  <si>
    <t xml:space="preserve">Passed inside; mesh/rod options ranked by cost</t>
  </si>
  <si>
    <t xml:space="preserve">2 – Perimeter check</t>
  </si>
  <si>
    <t xml:space="preserve">Same, contour (−5,−5)→(35,35)</t>
  </si>
  <si>
    <t xml:space="preserve">&gt; 806.59 (contour)</t>
  </si>
  <si>
    <t xml:space="preserve">FAILED outside the fence → perimeter ring added</t>
  </si>
  <si>
    <t xml:space="preserve">3 – Ring added</t>
  </si>
  <si>
    <t xml:space="preserve">6×6 + ring (1 element/side)</t>
  </si>
  <si>
    <t xml:space="preserve">Passed; ring segmentation refined</t>
  </si>
  <si>
    <t xml:space="preserve">4 – Verification</t>
  </si>
  <si>
    <t xml:space="preserve">6×6 + ring (6 elements/side)</t>
  </si>
  <si>
    <t xml:space="preserve">PASS – FINAL</t>
  </si>
  <si>
    <t xml:space="preserve">4 – Alternative</t>
  </si>
  <si>
    <t xml:space="preserve">5×5 + ring (6 elements/side)</t>
  </si>
  <si>
    <t xml:space="preserve">PASS, thin margin – rejected</t>
  </si>
  <si>
    <t xml:space="preserve">Construction notes: fence on the 0–30 m line bonded to grid · crushed rock ≥1.5 m outside fence · gate swings inward · no grid-bonded metal outside the ring.</t>
  </si>
  <si>
    <t xml:space="preserve">Accessible zone: touch evaluated inside the fence and 1 m outside it (IEEE 80 reach); step evaluated everywhere. Contour maxima 5 m outside (≈1400 V) are not accessible.</t>
  </si>
  <si>
    <t xml:space="preserve">Assumptions to state: two-layer soil 100/50 Ω·m (1.5 m) · split factor 0.276 · X/R 45 (conservative vs ≈24 from fault angle) · 70 kg body, 0.5 s.</t>
  </si>
  <si>
    <t xml:space="preserve">Costs are indicative Dhaka-market estimates (see 'Unit Rates'); confirm yellow-highlighted rates with supplier quotations.</t>
  </si>
  <si>
    <t xml:space="preserve">#Run</t>
  </si>
  <si>
    <t xml:space="preserve">Grid spacing (X×Y)</t>
  </si>
  <si>
    <t xml:space="preserve"># Rods</t>
  </si>
  <si>
    <t xml:space="preserve">Rod length(m)</t>
  </si>
  <si>
    <t xml:space="preserve">Total conductor length (m)</t>
  </si>
  <si>
    <t xml:space="preserve">Total rod length (m)</t>
  </si>
  <si>
    <t xml:space="preserve">Ground Resistance (Ω)</t>
  </si>
  <si>
    <t xml:space="preserve">Touch (V)</t>
  </si>
  <si>
    <t xml:space="preserve">Step (V)</t>
  </si>
  <si>
    <t xml:space="preserve">Pass/Fail</t>
  </si>
  <si>
    <t xml:space="preserve">Est. material cost</t>
  </si>
  <si>
    <t xml:space="preserve">Conductors per direction (n)</t>
  </si>
  <si>
    <t xml:space="preserve">Conductor length (m)</t>
  </si>
  <si>
    <t xml:space="preserve">Rod length (m)</t>
  </si>
  <si>
    <t xml:space="preserve">Exothermic joints (n² + rods)</t>
  </si>
  <si>
    <t xml:space="preserve">Rod couplers</t>
  </si>
  <si>
    <t xml:space="preserve">Conductor cost (BDT)</t>
  </si>
  <si>
    <t xml:space="preserve">Rod cost (BDT) – whole 3 m sections</t>
  </si>
  <si>
    <t xml:space="preserve">Joint cost (BDT)</t>
  </si>
  <si>
    <t xml:space="preserve">Touch margin vs limit</t>
  </si>
  <si>
    <t xml:space="preserve">Est. cost (USD)</t>
  </si>
  <si>
    <t xml:space="preserve">4x4</t>
  </si>
  <si>
    <t xml:space="preserve">2*4*30</t>
  </si>
  <si>
    <t xml:space="preserve">20*9</t>
  </si>
  <si>
    <t xml:space="preserve">FAIL</t>
  </si>
  <si>
    <t xml:space="preserve">4x4 asymmetric</t>
  </si>
  <si>
    <t xml:space="preserve">-</t>
  </si>
  <si>
    <t xml:space="preserve">5x5</t>
  </si>
  <si>
    <t xml:space="preserve">2*5*30</t>
  </si>
  <si>
    <t xml:space="preserve">PASS</t>
  </si>
  <si>
    <t xml:space="preserve">6x6</t>
  </si>
  <si>
    <t xml:space="preserve">2*6*30</t>
  </si>
  <si>
    <t xml:space="preserve">8x8</t>
  </si>
  <si>
    <t xml:space="preserve">2*8*30</t>
  </si>
  <si>
    <t xml:space="preserve">10x10</t>
  </si>
  <si>
    <t xml:space="preserve">2*10*30</t>
  </si>
  <si>
    <t xml:space="preserve">Cost columns L and M–V added: formulas use rates on the 'Unit Rates' sheet. Negative touch margin = design exceeds the tolerable touch voltage.</t>
  </si>
  <si>
    <t xml:space="preserve">16*9</t>
  </si>
  <si>
    <t xml:space="preserve">24*9</t>
  </si>
  <si>
    <t xml:space="preserve">20*8</t>
  </si>
  <si>
    <t xml:space="preserve">20*7</t>
  </si>
  <si>
    <t xml:space="preserve">Exothermic joints (n² + rods + ties)</t>
  </si>
  <si>
    <t xml:space="preserve">Touch at fence, 1 m outside (V)</t>
  </si>
  <si>
    <t xml:space="preserve">Fence touch margin</t>
  </si>
  <si>
    <t xml:space="preserve">Ring elements per side</t>
  </si>
  <si>
    <t xml:space="preserve">Status</t>
  </si>
  <si>
    <t xml:space="preserve">6x6 + ring</t>
  </si>
  <si>
    <t xml:space="preserve">grid 12×30 + ring 4×32 + 24 ties</t>
  </si>
  <si>
    <t xml:space="preserve">Superseded – coarse ring model (1 element/side) overstated fence touch by ~22 V</t>
  </si>
  <si>
    <t xml:space="preserve">FINAL DESIGN – selected</t>
  </si>
  <si>
    <t xml:space="preserve">5x5 + ring</t>
  </si>
  <si>
    <t xml:space="preserve">grid 10×30 + ring 4×32 + 20 ties</t>
  </si>
  <si>
    <t xml:space="preserve">Meets IEEE 80 but only ~10% inside margin – rejected</t>
  </si>
  <si>
    <t xml:space="preserve">Stage 2 designs: 6×6 or 5×5 grid (0–30 m) + perimeter ring 32×32 m at 1 m outside the fence, tied to every grid line, 20 rods × 9 m moved onto the ring. Touch (col I) = profile (−1,−1)→(31,31); fence touch (col W) = profile (−1,−1)→(31,−1); step (col J) = max of all profiles incl. (−6,−6)→(36,36).</t>
  </si>
  <si>
    <t xml:space="preserve">Pass/Fail is now a formula: touch inside AND touch at fence ≤ 806.59 V, and step ≤ 2560.25 V. Ground resistance: see CYMGRD Grid analysis report (≈ GPR / grid current).</t>
  </si>
  <si>
    <t xml:space="preserve">Bangladesh unit rates &amp; design constants (edit blue cells; yellow = key assumptions)</t>
  </si>
  <si>
    <t xml:space="preserve">Value</t>
  </si>
  <si>
    <t xml:space="preserve">Unit</t>
  </si>
  <si>
    <t xml:space="preserve">Source / basis</t>
  </si>
  <si>
    <t xml:space="preserve">DESIGN CONSTANTS</t>
  </si>
  <si>
    <t xml:space="preserve">Grid side length (square yard)</t>
  </si>
  <si>
    <t xml:space="preserve">m</t>
  </si>
  <si>
    <t xml:space="preserve">User design (CYMGRD grid 0–30 m)</t>
  </si>
  <si>
    <t xml:space="preserve">Max permissible touch voltage</t>
  </si>
  <si>
    <t xml:space="preserve">V</t>
  </si>
  <si>
    <t xml:space="preserve">User CYMGRD Soil analysis report (70 kg, 0.5 s, 0.1 m wet crushed rock)</t>
  </si>
  <si>
    <t xml:space="preserve">Conductor cross-section</t>
  </si>
  <si>
    <t xml:space="preserve">mm²</t>
  </si>
  <si>
    <t xml:space="preserve">User CYMGRD model: 9.44 mm solid Cu = 70 mm²</t>
  </si>
  <si>
    <t xml:space="preserve">GRID CONDUCTOR (bare annealed Cu)</t>
  </si>
  <si>
    <t xml:space="preserve">Copper density</t>
  </si>
  <si>
    <t xml:space="preserve">g/cm³</t>
  </si>
  <si>
    <t xml:space="preserve">Physical constant (annealed Cu)</t>
  </si>
  <si>
    <t xml:space="preserve">Conductor mass</t>
  </si>
  <si>
    <t xml:space="preserve">kg/m</t>
  </si>
  <si>
    <t xml:space="preserve">Formula: area × density</t>
  </si>
  <si>
    <t xml:space="preserve">Copper metal price (spot, in BDT)</t>
  </si>
  <si>
    <t xml:space="preserve">BDT/kg</t>
  </si>
  <si>
    <t xml:space="preserve">commoditypriceapi.com copper→BDT, 08-Sep-2026 (৳1,853/kg)</t>
  </si>
  <si>
    <t xml:space="preserve">Wire-drawing/stranding + dealer premium over metal</t>
  </si>
  <si>
    <t xml:space="preserve">%</t>
  </si>
  <si>
    <t xml:space="preserve">Assumption: typical 25–40% for bare stranded earthing conductor; verify with BRB/Eastern/Superior Electric quote</t>
  </si>
  <si>
    <t xml:space="preserve">Conductor supply rate</t>
  </si>
  <si>
    <t xml:space="preserve">BDT/m</t>
  </si>
  <si>
    <t xml:space="preserve">Formula</t>
  </si>
  <si>
    <t xml:space="preserve">Trench 0.5–0.6 m, lay conductor, backfill &amp; compact</t>
  </si>
  <si>
    <t xml:space="preserve">Assumption: local manual labour in kutcha ground; PWD SoR 2022 (2nd rev., Jan-2026) underground cable items imply ~৳200–300/m for trench+refill</t>
  </si>
  <si>
    <t xml:space="preserve">GROUND RODS (16 mm Cu-bonded steel, 3 m sections)</t>
  </si>
  <si>
    <t xml:space="preserve">Rod section price (16 mm × 3 m, threaded)</t>
  </si>
  <si>
    <t xml:space="preserve">BDT/each</t>
  </si>
  <si>
    <t xml:space="preserve">Estimate: Superior Electric (Mirpur) lists 12.7 mm × 3 m at ৳5,000 on BDStall; 16 mm scaled for ~1.6× steel mass</t>
  </si>
  <si>
    <t xml:space="preserve">Rod section length</t>
  </si>
  <si>
    <t xml:space="preserve">Standard section length</t>
  </si>
  <si>
    <t xml:space="preserve">Threaded coupler</t>
  </si>
  <si>
    <t xml:space="preserve">Assumption</t>
  </si>
  <si>
    <t xml:space="preserve">Rod driving labour (power hammer, alluvial soil)</t>
  </si>
  <si>
    <t xml:space="preserve">JOINTS</t>
  </si>
  <si>
    <t xml:space="preserve">Exothermic weld, all-in (cartridge + mould share + labour)</t>
  </si>
  <si>
    <t xml:space="preserve">BDT/joint</t>
  </si>
  <si>
    <t xml:space="preserve">Assumption: imported cartridge ≈ US$8–15 + graphite mould amortisation + labour; Indian brands (Amiable/AuraWeld) supply BD</t>
  </si>
  <si>
    <t xml:space="preserve">SURFACE LAYER &amp; SITE WORKS (same for every grid option)</t>
  </si>
  <si>
    <t xml:space="preserve">Surface layer extension beyond grid edge (each side)</t>
  </si>
  <si>
    <t xml:space="preserve">Final design: crushed rock ≥1.5 m outside fence (fence on grid edge) so the 806.59 V limit applies in the 1 m reach zone</t>
  </si>
  <si>
    <t xml:space="preserve">Surface layer thickness</t>
  </si>
  <si>
    <t xml:space="preserve">User CYMGRD model</t>
  </si>
  <si>
    <t xml:space="preserve">Crushed stone (3/4") delivered</t>
  </si>
  <si>
    <t xml:space="preserve">BDT/cft</t>
  </si>
  <si>
    <t xml:space="preserve">BDStall stone listings Sep-2026: ৳210–230/cft</t>
  </si>
  <si>
    <t xml:space="preserve">Spreading &amp; levelling labour</t>
  </si>
  <si>
    <t xml:space="preserve">Soil resistivity survey + fall-of-potential &amp; continuity tests</t>
  </si>
  <si>
    <t xml:space="preserve">BDT lump</t>
  </si>
  <si>
    <t xml:space="preserve">MARK-UPS</t>
  </si>
  <si>
    <t xml:space="preserve">Contractor overhead &amp; profit</t>
  </si>
  <si>
    <t xml:space="preserve">Contingency</t>
  </si>
  <si>
    <t xml:space="preserve">VAT</t>
  </si>
  <si>
    <t xml:space="preserve">PWD SoR 2022 (2nd revised, eff. 22-Jan-2026) applies VAT at 10%</t>
  </si>
  <si>
    <t xml:space="preserve">Exchange rate</t>
  </si>
  <si>
    <t xml:space="preserve">BDT/USD</t>
  </si>
  <si>
    <t xml:space="preserve">Implied by commoditypriceapi.com (৳1,853/kg = US$15.08/kg), Sep-2026</t>
  </si>
  <si>
    <t xml:space="preserve">BENCHMARK (typical budget)</t>
  </si>
  <si>
    <t xml:space="preserve">33/11 kV substation total cost – low</t>
  </si>
  <si>
    <t xml:space="preserve">BDT</t>
  </si>
  <si>
    <t xml:space="preserve">AB Power Engineering (BD), Oct-2025: ৳2.5–4 crore for 3–10 MVA</t>
  </si>
  <si>
    <t xml:space="preserve">33/11 kV substation total cost – high</t>
  </si>
  <si>
    <t xml:space="preserve">AB Power Engineering (BD), Oct-2025</t>
  </si>
  <si>
    <t xml:space="preserve">Earthing share of substation cost – low</t>
  </si>
  <si>
    <t xml:space="preserve">Assumption (rule of thumb) – replace with a BREB/PGCB BOQ if available</t>
  </si>
  <si>
    <t xml:space="preserve">Earthing share of substation cost – high</t>
  </si>
  <si>
    <t xml:space="preserve">Assumption (rule of thumb)</t>
  </si>
  <si>
    <t xml:space="preserve">STAGE 2 – PERIMETER RING &amp; FINAL CHECKS</t>
  </si>
  <si>
    <t xml:space="preserve">Ring offset outside grid edge / fence</t>
  </si>
  <si>
    <t xml:space="preserve">User CYMGRD model: ring at −1 m and 31 m (fence on 0–30 m line)</t>
  </si>
  <si>
    <t xml:space="preserve">Max permissible step voltage</t>
  </si>
  <si>
    <t xml:space="preserve">User CYMGRD Soil analysis report</t>
  </si>
  <si>
    <t xml:space="preserve">Current split factor used in CYMGRD</t>
  </si>
  <si>
    <t xml:space="preserve">–</t>
  </si>
  <si>
    <t xml:space="preserve">User CYMGRD Grid analysis report (2 lines, Rtg 15 Ω; 6 feeders, Rdg 25 Ω)</t>
  </si>
  <si>
    <t xml:space="preserve">Legend: blue = input you can edit · black = formula · green = link to another sheet · yellow fill = key assumption to confirm with a local quotation.</t>
  </si>
  <si>
    <t xml:space="preserve">Rates are indicative Dhaka-zone market estimates (Sep-2026) for a student design study, not a contractor quotation.</t>
  </si>
  <si>
    <t xml:space="preserve">All unique designs from the sweeps – safety vs. installed grid cost</t>
  </si>
  <si>
    <t xml:space="preserve">Grid (n×n)</t>
  </si>
  <si>
    <t xml:space="preserve">Mesh spacing (m)</t>
  </si>
  <si>
    <t xml:space="preserve">Touch margin</t>
  </si>
  <si>
    <t xml:space="preserve">Installed grid cost (BDT)</t>
  </si>
  <si>
    <t xml:space="preserve">Cost (USD)</t>
  </si>
  <si>
    <t xml:space="preserve">Cost rank among PASS (1 = cheapest)</t>
  </si>
  <si>
    <t xml:space="preserve">Extra cost vs cheapest PASS (BDT)</t>
  </si>
  <si>
    <t xml:space="preserve">4×4, 20 rods × 9 m</t>
  </si>
  <si>
    <t xml:space="preserve">Sweep A, run 1</t>
  </si>
  <si>
    <t xml:space="preserve">4×4 asymmetric, 20 rods × 9 m</t>
  </si>
  <si>
    <t xml:space="preserve">Sweep A, run 2</t>
  </si>
  <si>
    <t xml:space="preserve">5×5, 20 rods × 9 m</t>
  </si>
  <si>
    <t xml:space="preserve">Sweep A, run 3</t>
  </si>
  <si>
    <t xml:space="preserve">6×6, 20 rods × 9 m  (Stage-1 best → final with ring, see Sweep D)</t>
  </si>
  <si>
    <t xml:space="preserve">Sweep A, run 4</t>
  </si>
  <si>
    <t xml:space="preserve">8×8, 20 rods × 9 m</t>
  </si>
  <si>
    <t xml:space="preserve">Sweep A, run 5</t>
  </si>
  <si>
    <t xml:space="preserve">10×10, 20 rods × 9 m</t>
  </si>
  <si>
    <t xml:space="preserve">Sweep A, run 6</t>
  </si>
  <si>
    <t xml:space="preserve">5×5, 16 rods × 9 m</t>
  </si>
  <si>
    <t xml:space="preserve">Sweep B, run 2</t>
  </si>
  <si>
    <t xml:space="preserve">5×5, 24 rods × 9 m</t>
  </si>
  <si>
    <t xml:space="preserve">Sweep B, run 3</t>
  </si>
  <si>
    <t xml:space="preserve">5×5, 20 rods × 8 m</t>
  </si>
  <si>
    <t xml:space="preserve">Sweep c, run 2</t>
  </si>
  <si>
    <t xml:space="preserve">5×5, 20 rods × 7 m</t>
  </si>
  <si>
    <t xml:space="preserve">Sweep c, run 3</t>
  </si>
  <si>
    <t xml:space="preserve">Cheapest PASS cost:</t>
  </si>
  <si>
    <t xml:space="preserve">Installed grid cost = conductor (supply + trench) + rods (sections + couplers + driving) + exothermic joints. Surface layer, testing, mark-ups &amp; VAT are identical for all options and are handled on 'Budget vs Benchmark'.</t>
  </si>
  <si>
    <t xml:space="preserve">Touch margin = (806.59 V − touch) / 806.59 V. Aim for ≥10% margin given uncertainty in split factor and soil model.</t>
  </si>
  <si>
    <t xml:space="preserve">Bold row = current/recommended design. Cost ranking changes automatically if you edit the unit rates.</t>
  </si>
  <si>
    <t xml:space="preserve">Stage-1 sweep only checked touch inside the grid. Perimeter/fence check and the final ring designs are on 'Sweep D' and 'Final Design'.</t>
  </si>
  <si>
    <t xml:space="preserve">Project budget for the grounding system vs. typical budget (BDT) – FINAL DESIGN</t>
  </si>
  <si>
    <t xml:space="preserve">Line item</t>
  </si>
  <si>
    <t xml:space="preserve">FINAL: 6×6 + ring, 20 rods × 9 m</t>
  </si>
  <si>
    <t xml:space="preserve">Alternative: 5×5 + ring, 20 rods × 9 m</t>
  </si>
  <si>
    <t xml:space="preserve">Basis</t>
  </si>
  <si>
    <t xml:space="preserve">Grid conductor – supply + trench/lay</t>
  </si>
  <si>
    <t xml:space="preserve">Sweep D col R (grid + ring + ties)</t>
  </si>
  <si>
    <t xml:space="preserve">Ground rods – sections, couplers, driving</t>
  </si>
  <si>
    <t xml:space="preserve">Sweep sheets col S</t>
  </si>
  <si>
    <t xml:space="preserve">Exothermic joints</t>
  </si>
  <si>
    <t xml:space="preserve">Sweep D col T (grid crossings + rod welds + tie welds)</t>
  </si>
  <si>
    <t xml:space="preserve">Surface layer – crushed stone supply + spreading</t>
  </si>
  <si>
    <t xml:space="preserve">(side + 2×ext)² × thickness, ×35.3147 cft/m³</t>
  </si>
  <si>
    <t xml:space="preserve">Soil survey &amp; commissioning tests</t>
  </si>
  <si>
    <t xml:space="preserve">Lump sum</t>
  </si>
  <si>
    <t xml:space="preserve">Direct cost subtotal</t>
  </si>
  <si>
    <t xml:space="preserve">Sum</t>
  </si>
  <si>
    <t xml:space="preserve">× OH&amp;P</t>
  </si>
  <si>
    <t xml:space="preserve">× contingency</t>
  </si>
  <si>
    <t xml:space="preserve">× VAT</t>
  </si>
  <si>
    <t xml:space="preserve">TOTAL grounding system budget (BDT)</t>
  </si>
  <si>
    <t xml:space="preserve">TOTAL (USD)</t>
  </si>
  <si>
    <t xml:space="preserve">TOTAL (lakh BDT)</t>
  </si>
  <si>
    <t xml:space="preserve">Grid-only total incl. mark-ups &amp; VAT (excl. surface layer)</t>
  </si>
  <si>
    <t xml:space="preserve">Crushed rock is often costed under civil/yard works – this line isolates the electrical earthing scope</t>
  </si>
  <si>
    <t xml:space="preserve">BENCHMARK – typical budget</t>
  </si>
  <si>
    <t xml:space="preserve">Typical 33/11 kV substation cost – low</t>
  </si>
  <si>
    <t xml:space="preserve">AB Power Engineering (BD)</t>
  </si>
  <si>
    <t xml:space="preserve">Typical 33/11 kV substation cost – high</t>
  </si>
  <si>
    <t xml:space="preserve">Typical earthing budget – low (low cost × low share)</t>
  </si>
  <si>
    <t xml:space="preserve">Rule-of-thumb share (Unit Rates)</t>
  </si>
  <si>
    <t xml:space="preserve">Typical earthing budget – high (high cost × high share)</t>
  </si>
  <si>
    <t xml:space="preserve">Typical earthing budget – mid-point</t>
  </si>
  <si>
    <t xml:space="preserve">Average of low &amp; high</t>
  </si>
  <si>
    <t xml:space="preserve">COMPARISON</t>
  </si>
  <si>
    <t xml:space="preserve">Full budget vs typical mid-point</t>
  </si>
  <si>
    <t xml:space="preserve">Full budget within typical range?</t>
  </si>
  <si>
    <t xml:space="preserve">Grid-only vs typical mid-point</t>
  </si>
  <si>
    <t xml:space="preserve">Grid-only within typical range?</t>
  </si>
  <si>
    <t xml:space="preserve">Full budget as % of mid-range substation cost</t>
  </si>
  <si>
    <t xml:space="preserve">Benchmark method: typical 33/11 kV substation cost (published BD range) × assumed earthing share (2–5%). No public BD average exists for a 30×30 m grid, so treat this as an order-of-magnitude check and replace with a BREB/PGCB tender BOQ if you can obtain one.</t>
  </si>
  <si>
    <t xml:space="preserve">All rates are editable on 'Unit Rates'. Yellow cells are the ones most worth confirming with a local supplier quotation (copper conductor, rods, exothermic welds).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</si>
</sst>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"/>
    <numFmt numFmtId="166" formatCode="#,##0.00"/>
    <numFmt numFmtId="167" formatCode="0.0%"/>
    <numFmt numFmtId="168" formatCode="0.000"/>
    <numFmt numFmtId="169" formatCode="#,##0;\(#,##0\);\-"/>
    <numFmt numFmtId="170" formatCode="\+#,##0.0;\-#,##0.0"/>
    <numFmt numFmtId="171" formatCode="\+0.0%;\-0.0%"/>
    <numFmt numFmtId="172" formatCode="\+0.000;\-0.000"/>
    <numFmt numFmtId="173" formatCode="\+#,##0;\-#,##0"/>
    <numFmt numFmtId="174" formatCode="#,##0;\(#,##0\);\-"/>
    <numFmt numFmtId="175" formatCode="0.0%;\-0.0%"/>
    <numFmt numFmtId="176" formatCode="0.0000"/>
    <numFmt numFmtId="177" formatCode="General"/>
    <numFmt numFmtId="178" formatCode="0.0"/>
    <numFmt numFmtId="179" formatCode="\+0.0%;\-0.0%;0.0%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b val="true"/>
      <sz val="11"/>
      <color rgb="FF008000"/>
      <name val="Aptos Narrow"/>
      <family val="0"/>
      <charset val="1"/>
    </font>
    <font>
      <sz val="11"/>
      <color rgb="FF9C0006"/>
      <name val="Aptos Narrow"/>
      <family val="2"/>
      <charset val="1"/>
    </font>
    <font>
      <sz val="11"/>
      <color rgb="FF0000FF"/>
      <name val="Aptos Narrow"/>
      <family val="0"/>
      <charset val="1"/>
    </font>
    <font>
      <sz val="11"/>
      <color rgb="FF006100"/>
      <name val="Aptos Narrow"/>
      <family val="2"/>
      <charset val="1"/>
    </font>
    <font>
      <sz val="10"/>
      <name val="Arial"/>
      <family val="2"/>
    </font>
    <font>
      <sz val="11"/>
      <color theme="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C1E5F5"/>
      </patternFill>
    </fill>
    <fill>
      <patternFill patternType="solid">
        <fgColor rgb="FFE2EFDA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C1E5F5"/>
      </patternFill>
    </fill>
    <fill>
      <patternFill patternType="solid">
        <fgColor theme="4" tint="0.7999"/>
        <bgColor rgb="FFD9E1F2"/>
      </patternFill>
    </fill>
    <fill>
      <patternFill patternType="solid">
        <fgColor theme="9"/>
        <bgColor rgb="FF8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ptos Narrow"/>
        <charset val="1"/>
        <family val="0"/>
        <color rgb="FF006100"/>
      </font>
      <fill>
        <patternFill>
          <bgColor rgb="FFC6EFCE"/>
        </patternFill>
      </fill>
    </dxf>
    <dxf>
      <font>
        <name val="Aptos Narrow"/>
        <charset val="1"/>
        <family val="0"/>
        <color rgb="FF9C0006"/>
      </font>
      <fill>
        <patternFill>
          <bgColor rgb="FFFFC7CE"/>
        </patternFill>
      </fill>
    </dxf>
    <dxf>
      <font>
        <name val="Aptos Narrow"/>
        <charset val="1"/>
        <family val="0"/>
        <color rgb="FF006100"/>
      </font>
      <fill>
        <patternFill>
          <bgColor rgb="FFC6EFCE"/>
        </patternFill>
      </fill>
    </dxf>
    <dxf>
      <font>
        <name val="Aptos Narrow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1E5F5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EA72E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2" customFormat="false" ht="15" hidden="false" customHeight="false" outlineLevel="0" collapsed="false">
      <c r="A12" s="2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</row>
    <row r="14" customFormat="false" ht="15" hidden="false" customHeight="false" outlineLevel="0" collapsed="false">
      <c r="A14" s="5" t="s">
        <v>23</v>
      </c>
      <c r="B14" s="6" t="n">
        <f aca="false">'Sweep D'!I3</f>
        <v>666.36</v>
      </c>
      <c r="C14" s="7" t="n">
        <f aca="false">'Unit Rates'!$C$6</f>
        <v>806.59</v>
      </c>
      <c r="D14" s="8" t="n">
        <f aca="false">(C14-B14)/C14</f>
        <v>0.173855366419123</v>
      </c>
      <c r="E14" s="5" t="str">
        <f aca="false">IF(B14&lt;=C14,"PASS","FAIL")</f>
        <v>PASS</v>
      </c>
      <c r="F14" s="9" t="s">
        <v>24</v>
      </c>
    </row>
    <row r="15" customFormat="false" ht="15" hidden="false" customHeight="false" outlineLevel="0" collapsed="false">
      <c r="A15" s="5" t="s">
        <v>25</v>
      </c>
      <c r="B15" s="6" t="n">
        <f aca="false">'Sweep D'!W3</f>
        <v>609.74</v>
      </c>
      <c r="C15" s="7" t="n">
        <f aca="false">'Unit Rates'!$C$6</f>
        <v>806.59</v>
      </c>
      <c r="D15" s="8" t="n">
        <f aca="false">(C15-B15)/C15</f>
        <v>0.244052120656095</v>
      </c>
      <c r="E15" s="5" t="str">
        <f aca="false">IF(B15&lt;=C15,"PASS","FAIL")</f>
        <v>PASS</v>
      </c>
      <c r="F15" s="9" t="s">
        <v>26</v>
      </c>
    </row>
    <row r="16" customFormat="false" ht="15" hidden="false" customHeight="false" outlineLevel="0" collapsed="false">
      <c r="A16" s="5" t="s">
        <v>27</v>
      </c>
      <c r="B16" s="6" t="n">
        <f aca="false">'Sweep D'!J3</f>
        <v>149.07</v>
      </c>
      <c r="C16" s="7" t="n">
        <f aca="false">'Unit Rates'!$C$41</f>
        <v>2560.25</v>
      </c>
      <c r="D16" s="8" t="n">
        <f aca="false">(C16-B16)/C16</f>
        <v>0.941775217263939</v>
      </c>
      <c r="E16" s="5" t="str">
        <f aca="false">IF(B16&lt;=C16,"PASS","FAIL")</f>
        <v>PASS</v>
      </c>
      <c r="F16" s="9" t="s">
        <v>28</v>
      </c>
    </row>
    <row r="17" customFormat="false" ht="15" hidden="false" customHeight="false" outlineLevel="0" collapsed="false">
      <c r="A17" s="2" t="s">
        <v>29</v>
      </c>
      <c r="E17" s="2" t="str">
        <f aca="false">IF(COUNTIF(E14:E16,"PASS")=3,"PASS","FAIL")</f>
        <v>PASS</v>
      </c>
    </row>
    <row r="18" customFormat="false" ht="15" hidden="false" customHeight="false" outlineLevel="0" collapsed="false">
      <c r="A18" s="3" t="s">
        <v>30</v>
      </c>
      <c r="D18" s="10" t="n">
        <f aca="false">MIN(D14,D15)</f>
        <v>0.173855366419123</v>
      </c>
    </row>
    <row r="19" customFormat="false" ht="15" hidden="false" customHeight="false" outlineLevel="0" collapsed="false">
      <c r="A19" s="3" t="s">
        <v>31</v>
      </c>
      <c r="B19" s="11" t="n">
        <f aca="false">'Sweep D'!H3</f>
        <v>2635.21</v>
      </c>
    </row>
    <row r="20" customFormat="false" ht="15" hidden="false" customHeight="false" outlineLevel="0" collapsed="false">
      <c r="A20" s="3" t="s">
        <v>32</v>
      </c>
      <c r="B20" s="12" t="n">
        <f aca="false">'Unit Rates'!$C$42</f>
        <v>0.275889</v>
      </c>
      <c r="C20" s="13" t="n">
        <f aca="false">'Unit Rates'!$C$42*'Unit Rates'!$C$6/MAX(B14,B15)</f>
        <v>0.33394757865118</v>
      </c>
      <c r="F20" s="14" t="s">
        <v>33</v>
      </c>
    </row>
    <row r="22" customFormat="false" ht="15" hidden="false" customHeight="false" outlineLevel="0" collapsed="false">
      <c r="A22" s="2" t="s">
        <v>34</v>
      </c>
    </row>
    <row r="23" customFormat="false" ht="15" hidden="false" customHeight="false" outlineLevel="0" collapsed="false">
      <c r="A23" s="3" t="s">
        <v>35</v>
      </c>
      <c r="B23" s="15" t="n">
        <f aca="false">'Sweep D'!L3</f>
        <v>1541517.93664</v>
      </c>
    </row>
    <row r="24" customFormat="false" ht="15" hidden="false" customHeight="false" outlineLevel="0" collapsed="false">
      <c r="A24" s="2" t="s">
        <v>36</v>
      </c>
      <c r="B24" s="16" t="n">
        <f aca="false">'Budget vs Benchmark'!B13</f>
        <v>3334519.80272939</v>
      </c>
    </row>
    <row r="25" customFormat="false" ht="15" hidden="false" customHeight="false" outlineLevel="0" collapsed="false">
      <c r="A25" s="3" t="s">
        <v>37</v>
      </c>
      <c r="B25" s="11" t="n">
        <f aca="false">'Budget vs Benchmark'!B15</f>
        <v>33.3451980272939</v>
      </c>
    </row>
    <row r="26" customFormat="false" ht="15" hidden="false" customHeight="false" outlineLevel="0" collapsed="false">
      <c r="A26" s="3" t="s">
        <v>38</v>
      </c>
      <c r="B26" s="15" t="n">
        <f aca="false">'Budget vs Benchmark'!B14</f>
        <v>27131.9756121187</v>
      </c>
    </row>
    <row r="27" customFormat="false" ht="15" hidden="false" customHeight="false" outlineLevel="0" collapsed="false">
      <c r="A27" s="3" t="s">
        <v>39</v>
      </c>
      <c r="B27" s="15" t="n">
        <f aca="false">'Budget vs Benchmark'!B17</f>
        <v>2131620.37366784</v>
      </c>
    </row>
    <row r="28" customFormat="false" ht="15" hidden="false" customHeight="false" outlineLevel="0" collapsed="false">
      <c r="A28" s="3" t="s">
        <v>40</v>
      </c>
      <c r="B28" s="15" t="n">
        <f aca="false">'Budget vs Benchmark'!B22</f>
        <v>500000</v>
      </c>
    </row>
    <row r="29" customFormat="false" ht="15" hidden="false" customHeight="false" outlineLevel="0" collapsed="false">
      <c r="A29" s="3" t="s">
        <v>41</v>
      </c>
      <c r="B29" s="15" t="n">
        <f aca="false">'Budget vs Benchmark'!B23</f>
        <v>2000000</v>
      </c>
    </row>
    <row r="30" customFormat="false" ht="15" hidden="false" customHeight="false" outlineLevel="0" collapsed="false">
      <c r="A30" s="3" t="s">
        <v>42</v>
      </c>
      <c r="B30" s="17" t="str">
        <f aca="false">'Budget vs Benchmark'!B30</f>
        <v>Above range</v>
      </c>
    </row>
    <row r="31" customFormat="false" ht="15" hidden="false" customHeight="false" outlineLevel="0" collapsed="false">
      <c r="A31" s="3" t="s">
        <v>43</v>
      </c>
      <c r="B31" s="17" t="str">
        <f aca="false">'Budget vs Benchmark'!B28</f>
        <v>Above range</v>
      </c>
    </row>
    <row r="33" customFormat="false" ht="15" hidden="false" customHeight="false" outlineLevel="0" collapsed="false">
      <c r="A33" s="2" t="s">
        <v>44</v>
      </c>
    </row>
    <row r="34" customFormat="false" ht="15" hidden="false" customHeight="false" outlineLevel="0" collapsed="false">
      <c r="A34" s="4" t="s">
        <v>45</v>
      </c>
      <c r="B34" s="4" t="s">
        <v>46</v>
      </c>
      <c r="C34" s="4" t="s">
        <v>47</v>
      </c>
      <c r="D34" s="4" t="s">
        <v>48</v>
      </c>
    </row>
    <row r="35" customFormat="false" ht="15" hidden="false" customHeight="false" outlineLevel="0" collapsed="false">
      <c r="A35" s="5" t="s">
        <v>49</v>
      </c>
      <c r="B35" s="6" t="n">
        <f aca="false">'Sweep D'!I3</f>
        <v>666.36</v>
      </c>
      <c r="C35" s="6" t="n">
        <f aca="false">'Sweep D'!I4</f>
        <v>722.395</v>
      </c>
      <c r="D35" s="18" t="n">
        <f aca="false">B35-C35</f>
        <v>-56.035</v>
      </c>
    </row>
    <row r="36" customFormat="false" ht="15" hidden="false" customHeight="false" outlineLevel="0" collapsed="false">
      <c r="A36" s="5" t="s">
        <v>50</v>
      </c>
      <c r="B36" s="19" t="n">
        <f aca="false">'Sweep D'!U3</f>
        <v>0.173855366419123</v>
      </c>
      <c r="C36" s="19" t="n">
        <f aca="false">'Sweep D'!U4</f>
        <v>0.104383887724866</v>
      </c>
      <c r="D36" s="20" t="n">
        <f aca="false">B36-C36</f>
        <v>0.069471478694256</v>
      </c>
    </row>
    <row r="37" customFormat="false" ht="15" hidden="false" customHeight="false" outlineLevel="0" collapsed="false">
      <c r="A37" s="5" t="s">
        <v>51</v>
      </c>
      <c r="B37" s="6" t="n">
        <f aca="false">'Sweep D'!W3</f>
        <v>609.74</v>
      </c>
      <c r="C37" s="6" t="n">
        <f aca="false">'Sweep D'!W4</f>
        <v>612.575</v>
      </c>
      <c r="D37" s="18" t="n">
        <f aca="false">B37-C37</f>
        <v>-2.83500000000004</v>
      </c>
    </row>
    <row r="38" customFormat="false" ht="15" hidden="false" customHeight="false" outlineLevel="0" collapsed="false">
      <c r="A38" s="5" t="s">
        <v>52</v>
      </c>
      <c r="B38" s="21" t="n">
        <f aca="false">'Unit Rates'!$C$42*'Unit Rates'!$C$6/MAX('Sweep D'!I3,'Sweep D'!W3)</f>
        <v>0.33394757865118</v>
      </c>
      <c r="C38" s="21" t="n">
        <f aca="false">'Unit Rates'!$C$42*'Unit Rates'!$C$6/MAX('Sweep D'!I4,'Sweep D'!W4)</f>
        <v>0.308043810533019</v>
      </c>
      <c r="D38" s="22" t="n">
        <f aca="false">B38-C38</f>
        <v>0.0259037681181609</v>
      </c>
    </row>
    <row r="39" customFormat="false" ht="15" hidden="false" customHeight="false" outlineLevel="0" collapsed="false">
      <c r="A39" s="5" t="s">
        <v>53</v>
      </c>
      <c r="B39" s="23" t="n">
        <f aca="false">'Budget vs Benchmark'!B13</f>
        <v>3334519.80272939</v>
      </c>
      <c r="C39" s="23" t="n">
        <f aca="false">'Budget vs Benchmark'!C13</f>
        <v>3145598.00602091</v>
      </c>
      <c r="D39" s="24" t="n">
        <f aca="false">B39-C39</f>
        <v>188921.79670848</v>
      </c>
    </row>
    <row r="41" customFormat="false" ht="48" hidden="false" customHeight="true" outlineLevel="0" collapsed="false">
      <c r="A41" s="2" t="s">
        <v>54</v>
      </c>
      <c r="B41" s="25" t="s">
        <v>55</v>
      </c>
      <c r="C41" s="25"/>
      <c r="D41" s="25"/>
      <c r="E41" s="25"/>
      <c r="F41" s="25"/>
    </row>
    <row r="43" customFormat="false" ht="15" hidden="false" customHeight="false" outlineLevel="0" collapsed="false">
      <c r="A43" s="2" t="s">
        <v>56</v>
      </c>
    </row>
    <row r="44" customFormat="false" ht="15" hidden="false" customHeight="false" outlineLevel="0" collapsed="false">
      <c r="A44" s="4" t="s">
        <v>57</v>
      </c>
      <c r="B44" s="4" t="s">
        <v>58</v>
      </c>
      <c r="C44" s="4" t="s">
        <v>49</v>
      </c>
      <c r="D44" s="4" t="s">
        <v>51</v>
      </c>
      <c r="E44" s="4" t="s">
        <v>59</v>
      </c>
    </row>
    <row r="45" customFormat="false" ht="15" hidden="false" customHeight="false" outlineLevel="0" collapsed="false">
      <c r="A45" s="5" t="s">
        <v>60</v>
      </c>
      <c r="B45" s="5" t="s">
        <v>61</v>
      </c>
      <c r="C45" s="6" t="n">
        <f aca="false">'Sweep A'!I5</f>
        <v>714.443</v>
      </c>
      <c r="D45" s="5" t="s">
        <v>62</v>
      </c>
      <c r="E45" s="5" t="s">
        <v>63</v>
      </c>
    </row>
    <row r="46" customFormat="false" ht="15" hidden="false" customHeight="false" outlineLevel="0" collapsed="false">
      <c r="A46" s="5" t="s">
        <v>64</v>
      </c>
      <c r="B46" s="5" t="s">
        <v>65</v>
      </c>
      <c r="C46" s="6" t="n">
        <f aca="false">'Sweep A'!I5</f>
        <v>714.443</v>
      </c>
      <c r="D46" s="5" t="s">
        <v>66</v>
      </c>
      <c r="E46" s="5" t="s">
        <v>67</v>
      </c>
    </row>
    <row r="47" customFormat="false" ht="15" hidden="false" customHeight="false" outlineLevel="0" collapsed="false">
      <c r="A47" s="5" t="s">
        <v>68</v>
      </c>
      <c r="B47" s="5" t="s">
        <v>69</v>
      </c>
      <c r="C47" s="6" t="n">
        <f aca="false">'Sweep D'!I2</f>
        <v>669.213</v>
      </c>
      <c r="D47" s="6" t="n">
        <f aca="false">'Sweep D'!W2</f>
        <v>631.453</v>
      </c>
      <c r="E47" s="5" t="s">
        <v>70</v>
      </c>
    </row>
    <row r="48" customFormat="false" ht="15" hidden="false" customHeight="false" outlineLevel="0" collapsed="false">
      <c r="A48" s="26" t="s">
        <v>71</v>
      </c>
      <c r="B48" s="26" t="s">
        <v>72</v>
      </c>
      <c r="C48" s="27" t="n">
        <f aca="false">'Sweep D'!I3</f>
        <v>666.36</v>
      </c>
      <c r="D48" s="27" t="n">
        <f aca="false">'Sweep D'!W3</f>
        <v>609.74</v>
      </c>
      <c r="E48" s="26" t="s">
        <v>73</v>
      </c>
    </row>
    <row r="49" customFormat="false" ht="15" hidden="false" customHeight="false" outlineLevel="0" collapsed="false">
      <c r="A49" s="5" t="s">
        <v>74</v>
      </c>
      <c r="B49" s="5" t="s">
        <v>75</v>
      </c>
      <c r="C49" s="6" t="n">
        <f aca="false">'Sweep D'!I4</f>
        <v>722.395</v>
      </c>
      <c r="D49" s="6" t="n">
        <f aca="false">'Sweep D'!W4</f>
        <v>612.575</v>
      </c>
      <c r="E49" s="5" t="s">
        <v>76</v>
      </c>
    </row>
    <row r="51" customFormat="false" ht="15" hidden="false" customHeight="false" outlineLevel="0" collapsed="false">
      <c r="A51" s="14" t="s">
        <v>77</v>
      </c>
    </row>
    <row r="52" customFormat="false" ht="15" hidden="false" customHeight="false" outlineLevel="0" collapsed="false">
      <c r="A52" s="14" t="s">
        <v>78</v>
      </c>
    </row>
    <row r="53" customFormat="false" ht="15" hidden="false" customHeight="false" outlineLevel="0" collapsed="false">
      <c r="A53" s="14" t="s">
        <v>79</v>
      </c>
    </row>
    <row r="54" customFormat="false" ht="15" hidden="false" customHeight="false" outlineLevel="0" collapsed="false">
      <c r="A54" s="14" t="s">
        <v>80</v>
      </c>
    </row>
  </sheetData>
  <mergeCells count="1">
    <mergeCell ref="B41:F41"/>
  </mergeCells>
  <conditionalFormatting sqref="E14:E1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E17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L6" activeCellId="0" sqref="L6"/>
    </sheetView>
  </sheetViews>
  <sheetFormatPr defaultColWidth="8.5390625" defaultRowHeight="15" zeroHeight="false" outlineLevelRow="0" outlineLevelCol="0"/>
  <cols>
    <col collapsed="false" customWidth="true" hidden="false" outlineLevel="0" max="2" min="2" style="28" width="17.29"/>
    <col collapsed="false" customWidth="true" hidden="false" outlineLevel="0" max="4" min="4" style="28" width="13.29"/>
    <col collapsed="false" customWidth="true" hidden="false" outlineLevel="0" max="5" min="5" style="28" width="23.71"/>
    <col collapsed="false" customWidth="true" hidden="false" outlineLevel="0" max="6" min="6" style="28" width="18.43"/>
    <col collapsed="false" customWidth="true" hidden="false" outlineLevel="0" max="7" min="7" style="28" width="20.14"/>
    <col collapsed="false" customWidth="true" hidden="false" outlineLevel="0" max="12" min="12" style="28" width="14.72"/>
    <col collapsed="false" customWidth="true" hidden="false" outlineLevel="0" max="13" min="13" style="28" width="26.6"/>
    <col collapsed="false" customWidth="true" hidden="false" outlineLevel="0" max="14" min="14" style="28" width="19"/>
    <col collapsed="false" customWidth="true" hidden="false" outlineLevel="0" max="15" min="15" style="28" width="14"/>
    <col collapsed="false" customWidth="true" hidden="false" outlineLevel="0" max="16" min="16" style="28" width="27.55"/>
    <col collapsed="false" customWidth="true" hidden="false" outlineLevel="0" max="17" min="17" style="28" width="14"/>
    <col collapsed="false" customWidth="true" hidden="false" outlineLevel="0" max="18" min="18" style="28" width="19"/>
    <col collapsed="false" customWidth="true" hidden="false" outlineLevel="0" max="19" min="19" style="28" width="33.25"/>
    <col collapsed="false" customWidth="true" hidden="false" outlineLevel="0" max="20" min="20" style="28" width="15.2"/>
    <col collapsed="false" customWidth="true" hidden="false" outlineLevel="0" max="21" min="21" style="28" width="19.95"/>
    <col collapsed="false" customWidth="true" hidden="false" outlineLevel="0" max="22" min="22" style="28" width="14.25"/>
  </cols>
  <sheetData>
    <row r="1" customFormat="false" ht="15" hidden="false" customHeight="true" outlineLevel="0" collapsed="false">
      <c r="A1" s="28" t="s">
        <v>81</v>
      </c>
      <c r="B1" s="28" t="s">
        <v>82</v>
      </c>
      <c r="C1" s="28" t="s">
        <v>83</v>
      </c>
      <c r="D1" s="28" t="s">
        <v>84</v>
      </c>
      <c r="E1" s="28" t="s">
        <v>85</v>
      </c>
      <c r="F1" s="28" t="s">
        <v>86</v>
      </c>
      <c r="G1" s="28" t="s">
        <v>87</v>
      </c>
      <c r="H1" s="28" t="s">
        <v>31</v>
      </c>
      <c r="I1" s="28" t="s">
        <v>88</v>
      </c>
      <c r="J1" s="28" t="s">
        <v>89</v>
      </c>
      <c r="K1" s="28" t="s">
        <v>90</v>
      </c>
      <c r="L1" s="28" t="s">
        <v>91</v>
      </c>
      <c r="M1" s="29" t="s">
        <v>92</v>
      </c>
      <c r="N1" s="29" t="s">
        <v>93</v>
      </c>
      <c r="O1" s="29" t="s">
        <v>94</v>
      </c>
      <c r="P1" s="29" t="s">
        <v>95</v>
      </c>
      <c r="Q1" s="29" t="s">
        <v>96</v>
      </c>
      <c r="R1" s="29" t="s">
        <v>97</v>
      </c>
      <c r="S1" s="29" t="s">
        <v>98</v>
      </c>
      <c r="T1" s="29" t="s">
        <v>99</v>
      </c>
      <c r="U1" s="29" t="s">
        <v>100</v>
      </c>
      <c r="V1" s="29" t="s">
        <v>101</v>
      </c>
    </row>
    <row r="2" customFormat="false" ht="15" hidden="false" customHeight="true" outlineLevel="0" collapsed="false">
      <c r="A2" s="28" t="n">
        <v>1</v>
      </c>
      <c r="B2" s="28" t="s">
        <v>102</v>
      </c>
      <c r="C2" s="28" t="n">
        <v>20</v>
      </c>
      <c r="D2" s="28" t="n">
        <v>9</v>
      </c>
      <c r="E2" s="28" t="s">
        <v>103</v>
      </c>
      <c r="F2" s="28" t="s">
        <v>104</v>
      </c>
      <c r="G2" s="28" t="n">
        <v>0.670035</v>
      </c>
      <c r="H2" s="28" t="n">
        <v>2694</v>
      </c>
      <c r="I2" s="28" t="n">
        <v>887.516</v>
      </c>
      <c r="J2" s="28" t="n">
        <v>163.9</v>
      </c>
      <c r="K2" s="30" t="s">
        <v>105</v>
      </c>
      <c r="L2" s="31" t="n">
        <f aca="false">R2+S2+T2</f>
        <v>977774.0328</v>
      </c>
      <c r="M2" s="32" t="n">
        <v>4</v>
      </c>
      <c r="N2" s="29" t="n">
        <f aca="false">2*M2*'Unit Rates'!$C$5</f>
        <v>240</v>
      </c>
      <c r="O2" s="29" t="n">
        <f aca="false">C2*D2</f>
        <v>180</v>
      </c>
      <c r="P2" s="29" t="n">
        <f aca="false">M2^2+C2</f>
        <v>36</v>
      </c>
      <c r="Q2" s="29" t="n">
        <f aca="false">C2*(ROUNDUP(D2/'Unit Rates'!$C$17,0)-1)</f>
        <v>40</v>
      </c>
      <c r="R2" s="31" t="n">
        <f aca="false">N2*('Unit Rates'!$C$13+'Unit Rates'!$C$14)</f>
        <v>419774.0328</v>
      </c>
      <c r="S2" s="31" t="n">
        <f aca="false">C2*ROUNDUP(D2/'Unit Rates'!$C$17,0)*'Unit Rates'!$C$16+O2*'Unit Rates'!$C$19+Q2*'Unit Rates'!$C$18</f>
        <v>486000</v>
      </c>
      <c r="T2" s="31" t="n">
        <f aca="false">P2*'Unit Rates'!$C$21</f>
        <v>72000</v>
      </c>
      <c r="U2" s="33" t="n">
        <f aca="false">('Unit Rates'!$C$6-I2)/'Unit Rates'!$C$6</f>
        <v>-0.100331023196419</v>
      </c>
      <c r="V2" s="31" t="n">
        <f aca="false">L2/'Unit Rates'!$C$32</f>
        <v>7955.85055166802</v>
      </c>
    </row>
    <row r="3" customFormat="false" ht="15" hidden="false" customHeight="true" outlineLevel="0" collapsed="false">
      <c r="A3" s="28" t="n">
        <v>2</v>
      </c>
      <c r="B3" s="28" t="s">
        <v>106</v>
      </c>
      <c r="C3" s="28" t="n">
        <v>20</v>
      </c>
      <c r="D3" s="28" t="n">
        <v>9</v>
      </c>
      <c r="E3" s="28" t="s">
        <v>103</v>
      </c>
      <c r="F3" s="28" t="s">
        <v>104</v>
      </c>
      <c r="G3" s="28" t="s">
        <v>107</v>
      </c>
      <c r="H3" s="28" t="s">
        <v>107</v>
      </c>
      <c r="I3" s="28" t="n">
        <v>856.141</v>
      </c>
      <c r="J3" s="28" t="n">
        <v>152.5</v>
      </c>
      <c r="K3" s="30" t="s">
        <v>105</v>
      </c>
      <c r="L3" s="31" t="n">
        <f aca="false">R3+S3+T3</f>
        <v>977774.0328</v>
      </c>
      <c r="M3" s="32" t="n">
        <v>4</v>
      </c>
      <c r="N3" s="29" t="n">
        <f aca="false">2*M3*'Unit Rates'!$C$5</f>
        <v>240</v>
      </c>
      <c r="O3" s="29" t="n">
        <f aca="false">C3*D3</f>
        <v>180</v>
      </c>
      <c r="P3" s="29" t="n">
        <f aca="false">M3^2+C3</f>
        <v>36</v>
      </c>
      <c r="Q3" s="29" t="n">
        <f aca="false">C3*(ROUNDUP(D3/'Unit Rates'!$C$17,0)-1)</f>
        <v>40</v>
      </c>
      <c r="R3" s="31" t="n">
        <f aca="false">N3*('Unit Rates'!$C$13+'Unit Rates'!$C$14)</f>
        <v>419774.0328</v>
      </c>
      <c r="S3" s="31" t="n">
        <f aca="false">C3*ROUNDUP(D3/'Unit Rates'!$C$17,0)*'Unit Rates'!$C$16+O3*'Unit Rates'!$C$19+Q3*'Unit Rates'!$C$18</f>
        <v>486000</v>
      </c>
      <c r="T3" s="31" t="n">
        <f aca="false">P3*'Unit Rates'!$C$21</f>
        <v>72000</v>
      </c>
      <c r="U3" s="33" t="n">
        <f aca="false">('Unit Rates'!$C$6-I3)/'Unit Rates'!$C$6</f>
        <v>-0.0614326981489975</v>
      </c>
      <c r="V3" s="31" t="n">
        <f aca="false">L3/'Unit Rates'!$C$32</f>
        <v>7955.85055166802</v>
      </c>
    </row>
    <row r="4" customFormat="false" ht="15" hidden="false" customHeight="true" outlineLevel="0" collapsed="false">
      <c r="A4" s="28" t="n">
        <v>3</v>
      </c>
      <c r="B4" s="28" t="s">
        <v>108</v>
      </c>
      <c r="C4" s="28" t="n">
        <v>20</v>
      </c>
      <c r="D4" s="28" t="n">
        <v>9</v>
      </c>
      <c r="E4" s="28" t="s">
        <v>109</v>
      </c>
      <c r="F4" s="28" t="s">
        <v>104</v>
      </c>
      <c r="G4" s="28" t="n">
        <v>0.661857</v>
      </c>
      <c r="H4" s="28" t="n">
        <v>2685.03</v>
      </c>
      <c r="I4" s="28" t="n">
        <v>751.441</v>
      </c>
      <c r="J4" s="28" t="n">
        <v>128.89</v>
      </c>
      <c r="K4" s="34" t="s">
        <v>110</v>
      </c>
      <c r="L4" s="31" t="n">
        <f aca="false">R4+S4+T4</f>
        <v>1100717.541</v>
      </c>
      <c r="M4" s="32" t="n">
        <v>5</v>
      </c>
      <c r="N4" s="29" t="n">
        <f aca="false">2*M4*'Unit Rates'!$C$5</f>
        <v>300</v>
      </c>
      <c r="O4" s="29" t="n">
        <f aca="false">C4*D4</f>
        <v>180</v>
      </c>
      <c r="P4" s="29" t="n">
        <f aca="false">M4^2+C4</f>
        <v>45</v>
      </c>
      <c r="Q4" s="29" t="n">
        <f aca="false">C4*(ROUNDUP(D4/'Unit Rates'!$C$17,0)-1)</f>
        <v>40</v>
      </c>
      <c r="R4" s="31" t="n">
        <f aca="false">N4*('Unit Rates'!$C$13+'Unit Rates'!$C$14)</f>
        <v>524717.541</v>
      </c>
      <c r="S4" s="31" t="n">
        <f aca="false">C4*ROUNDUP(D4/'Unit Rates'!$C$17,0)*'Unit Rates'!$C$16+O4*'Unit Rates'!$C$19+Q4*'Unit Rates'!$C$18</f>
        <v>486000</v>
      </c>
      <c r="T4" s="31" t="n">
        <f aca="false">P4*'Unit Rates'!$C$21</f>
        <v>90000</v>
      </c>
      <c r="U4" s="33" t="n">
        <f aca="false">('Unit Rates'!$C$6-I4)/'Unit Rates'!$C$6</f>
        <v>0.0683730271885344</v>
      </c>
      <c r="V4" s="31" t="n">
        <f aca="false">L4/'Unit Rates'!$C$32</f>
        <v>8956.20456468674</v>
      </c>
    </row>
    <row r="5" customFormat="false" ht="15" hidden="false" customHeight="true" outlineLevel="0" collapsed="false">
      <c r="A5" s="28" t="n">
        <v>4</v>
      </c>
      <c r="B5" s="28" t="s">
        <v>111</v>
      </c>
      <c r="C5" s="28" t="n">
        <v>20</v>
      </c>
      <c r="D5" s="28" t="n">
        <v>9</v>
      </c>
      <c r="E5" s="28" t="s">
        <v>112</v>
      </c>
      <c r="F5" s="28" t="s">
        <v>104</v>
      </c>
      <c r="G5" s="28" t="n">
        <v>0.651835</v>
      </c>
      <c r="H5" s="28" t="n">
        <v>2673.81</v>
      </c>
      <c r="I5" s="28" t="n">
        <v>714.443</v>
      </c>
      <c r="J5" s="28" t="n">
        <v>111.88</v>
      </c>
      <c r="K5" s="34" t="s">
        <v>110</v>
      </c>
      <c r="L5" s="31" t="n">
        <f aca="false">R5+S5+T5</f>
        <v>1227661.0492</v>
      </c>
      <c r="M5" s="32" t="n">
        <v>6</v>
      </c>
      <c r="N5" s="29" t="n">
        <f aca="false">2*M5*'Unit Rates'!$C$5</f>
        <v>360</v>
      </c>
      <c r="O5" s="29" t="n">
        <f aca="false">C5*D5</f>
        <v>180</v>
      </c>
      <c r="P5" s="29" t="n">
        <f aca="false">M5^2+C5</f>
        <v>56</v>
      </c>
      <c r="Q5" s="29" t="n">
        <f aca="false">C5*(ROUNDUP(D5/'Unit Rates'!$C$17,0)-1)</f>
        <v>40</v>
      </c>
      <c r="R5" s="31" t="n">
        <f aca="false">N5*('Unit Rates'!$C$13+'Unit Rates'!$C$14)</f>
        <v>629661.0492</v>
      </c>
      <c r="S5" s="31" t="n">
        <f aca="false">C5*ROUNDUP(D5/'Unit Rates'!$C$17,0)*'Unit Rates'!$C$16+O5*'Unit Rates'!$C$19+Q5*'Unit Rates'!$C$18</f>
        <v>486000</v>
      </c>
      <c r="T5" s="31" t="n">
        <f aca="false">P5*'Unit Rates'!$C$21</f>
        <v>112000</v>
      </c>
      <c r="U5" s="33" t="n">
        <f aca="false">('Unit Rates'!$C$6-I5)/'Unit Rates'!$C$6</f>
        <v>0.114242675956806</v>
      </c>
      <c r="V5" s="31" t="n">
        <f aca="false">L5/'Unit Rates'!$C$32</f>
        <v>9989.10536371033</v>
      </c>
    </row>
    <row r="6" customFormat="false" ht="15" hidden="false" customHeight="true" outlineLevel="0" collapsed="false">
      <c r="A6" s="28" t="n">
        <v>5</v>
      </c>
      <c r="B6" s="28" t="s">
        <v>113</v>
      </c>
      <c r="C6" s="28" t="n">
        <v>20</v>
      </c>
      <c r="D6" s="28" t="n">
        <v>9</v>
      </c>
      <c r="E6" s="28" t="s">
        <v>114</v>
      </c>
      <c r="F6" s="28" t="s">
        <v>104</v>
      </c>
      <c r="G6" s="28" t="n">
        <v>0.644129</v>
      </c>
      <c r="H6" s="28" t="n">
        <v>2665.02</v>
      </c>
      <c r="I6" s="28" t="n">
        <v>654.096</v>
      </c>
      <c r="J6" s="28" t="n">
        <v>99.48</v>
      </c>
      <c r="K6" s="34" t="s">
        <v>110</v>
      </c>
      <c r="L6" s="31" t="n">
        <f aca="false">R6+S6+T6</f>
        <v>1493548.0656</v>
      </c>
      <c r="M6" s="32" t="n">
        <v>8</v>
      </c>
      <c r="N6" s="29" t="n">
        <f aca="false">2*M6*'Unit Rates'!$C$5</f>
        <v>480</v>
      </c>
      <c r="O6" s="29" t="n">
        <f aca="false">C6*D6</f>
        <v>180</v>
      </c>
      <c r="P6" s="29" t="n">
        <f aca="false">M6^2+C6</f>
        <v>84</v>
      </c>
      <c r="Q6" s="29" t="n">
        <f aca="false">C6*(ROUNDUP(D6/'Unit Rates'!$C$17,0)-1)</f>
        <v>40</v>
      </c>
      <c r="R6" s="31" t="n">
        <f aca="false">N6*('Unit Rates'!$C$13+'Unit Rates'!$C$14)</f>
        <v>839548.0656</v>
      </c>
      <c r="S6" s="31" t="n">
        <f aca="false">C6*ROUNDUP(D6/'Unit Rates'!$C$17,0)*'Unit Rates'!$C$16+O6*'Unit Rates'!$C$19+Q6*'Unit Rates'!$C$18</f>
        <v>486000</v>
      </c>
      <c r="T6" s="31" t="n">
        <f aca="false">P6*'Unit Rates'!$C$21</f>
        <v>168000</v>
      </c>
      <c r="U6" s="33" t="n">
        <f aca="false">('Unit Rates'!$C$6-I6)/'Unit Rates'!$C$6</f>
        <v>0.189060117283874</v>
      </c>
      <c r="V6" s="31" t="n">
        <f aca="false">L6/'Unit Rates'!$C$32</f>
        <v>12152.5473197722</v>
      </c>
    </row>
    <row r="7" customFormat="false" ht="15" hidden="false" customHeight="true" outlineLevel="0" collapsed="false">
      <c r="A7" s="28" t="n">
        <v>6</v>
      </c>
      <c r="B7" s="28" t="s">
        <v>115</v>
      </c>
      <c r="C7" s="28" t="n">
        <v>20</v>
      </c>
      <c r="D7" s="28" t="n">
        <v>9</v>
      </c>
      <c r="E7" s="28" t="s">
        <v>116</v>
      </c>
      <c r="F7" s="28" t="s">
        <v>104</v>
      </c>
      <c r="G7" s="28" t="n">
        <v>0.641795</v>
      </c>
      <c r="H7" s="28" t="n">
        <v>2662.32</v>
      </c>
      <c r="I7" s="28" t="n">
        <v>634.313</v>
      </c>
      <c r="J7" s="28" t="n">
        <v>99.38</v>
      </c>
      <c r="K7" s="34" t="s">
        <v>110</v>
      </c>
      <c r="L7" s="31" t="n">
        <f aca="false">R7+S7+T7</f>
        <v>1775435.082</v>
      </c>
      <c r="M7" s="32" t="n">
        <v>10</v>
      </c>
      <c r="N7" s="29" t="n">
        <f aca="false">2*M7*'Unit Rates'!$C$5</f>
        <v>600</v>
      </c>
      <c r="O7" s="29" t="n">
        <f aca="false">C7*D7</f>
        <v>180</v>
      </c>
      <c r="P7" s="29" t="n">
        <f aca="false">M7^2+C7</f>
        <v>120</v>
      </c>
      <c r="Q7" s="29" t="n">
        <f aca="false">C7*(ROUNDUP(D7/'Unit Rates'!$C$17,0)-1)</f>
        <v>40</v>
      </c>
      <c r="R7" s="31" t="n">
        <f aca="false">N7*('Unit Rates'!$C$13+'Unit Rates'!$C$14)</f>
        <v>1049435.082</v>
      </c>
      <c r="S7" s="31" t="n">
        <f aca="false">C7*ROUNDUP(D7/'Unit Rates'!$C$17,0)*'Unit Rates'!$C$16+O7*'Unit Rates'!$C$19+Q7*'Unit Rates'!$C$18</f>
        <v>486000</v>
      </c>
      <c r="T7" s="31" t="n">
        <f aca="false">P7*'Unit Rates'!$C$21</f>
        <v>240000</v>
      </c>
      <c r="U7" s="33" t="n">
        <f aca="false">('Unit Rates'!$C$6-I7)/'Unit Rates'!$C$6</f>
        <v>0.213586828500229</v>
      </c>
      <c r="V7" s="31" t="n">
        <f aca="false">L7/'Unit Rates'!$C$32</f>
        <v>14446.1764198535</v>
      </c>
    </row>
    <row r="9" customFormat="false" ht="15" hidden="false" customHeight="true" outlineLevel="0" collapsed="false">
      <c r="A9" s="35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2" min="2" style="28" width="15.86"/>
    <col collapsed="false" customWidth="true" hidden="false" outlineLevel="0" max="5" min="5" style="28" width="22.43"/>
    <col collapsed="false" customWidth="true" hidden="false" outlineLevel="0" max="6" min="6" style="28" width="16.72"/>
    <col collapsed="false" customWidth="true" hidden="false" outlineLevel="0" max="7" min="7" style="28" width="19.86"/>
    <col collapsed="false" customWidth="true" hidden="false" outlineLevel="0" max="12" min="12" style="28" width="15.72"/>
    <col collapsed="false" customWidth="true" hidden="false" outlineLevel="0" max="13" min="13" style="28" width="26.6"/>
    <col collapsed="false" customWidth="true" hidden="false" outlineLevel="0" max="14" min="14" style="28" width="19"/>
    <col collapsed="false" customWidth="true" hidden="false" outlineLevel="0" max="15" min="15" style="28" width="14"/>
    <col collapsed="false" customWidth="true" hidden="false" outlineLevel="0" max="16" min="16" style="28" width="27.55"/>
    <col collapsed="false" customWidth="true" hidden="false" outlineLevel="0" max="17" min="17" style="28" width="14"/>
    <col collapsed="false" customWidth="true" hidden="false" outlineLevel="0" max="18" min="18" style="28" width="19"/>
    <col collapsed="false" customWidth="true" hidden="false" outlineLevel="0" max="19" min="19" style="28" width="33.25"/>
    <col collapsed="false" customWidth="true" hidden="false" outlineLevel="0" max="20" min="20" style="28" width="15.2"/>
    <col collapsed="false" customWidth="true" hidden="false" outlineLevel="0" max="21" min="21" style="28" width="19.95"/>
    <col collapsed="false" customWidth="true" hidden="false" outlineLevel="0" max="22" min="22" style="28" width="14.25"/>
  </cols>
  <sheetData>
    <row r="1" customFormat="false" ht="15" hidden="false" customHeight="true" outlineLevel="0" collapsed="false">
      <c r="A1" s="28" t="s">
        <v>81</v>
      </c>
      <c r="B1" s="28" t="s">
        <v>82</v>
      </c>
      <c r="C1" s="28" t="s">
        <v>83</v>
      </c>
      <c r="D1" s="28" t="s">
        <v>84</v>
      </c>
      <c r="E1" s="28" t="s">
        <v>85</v>
      </c>
      <c r="F1" s="28" t="s">
        <v>86</v>
      </c>
      <c r="G1" s="28" t="s">
        <v>87</v>
      </c>
      <c r="H1" s="28" t="s">
        <v>31</v>
      </c>
      <c r="I1" s="28" t="s">
        <v>88</v>
      </c>
      <c r="J1" s="28" t="s">
        <v>89</v>
      </c>
      <c r="K1" s="28" t="s">
        <v>90</v>
      </c>
      <c r="L1" s="28" t="s">
        <v>91</v>
      </c>
      <c r="M1" s="29" t="s">
        <v>92</v>
      </c>
      <c r="N1" s="29" t="s">
        <v>93</v>
      </c>
      <c r="O1" s="29" t="s">
        <v>94</v>
      </c>
      <c r="P1" s="29" t="s">
        <v>95</v>
      </c>
      <c r="Q1" s="29" t="s">
        <v>96</v>
      </c>
      <c r="R1" s="29" t="s">
        <v>97</v>
      </c>
      <c r="S1" s="29" t="s">
        <v>98</v>
      </c>
      <c r="T1" s="29" t="s">
        <v>99</v>
      </c>
      <c r="U1" s="29" t="s">
        <v>100</v>
      </c>
      <c r="V1" s="29" t="s">
        <v>101</v>
      </c>
    </row>
    <row r="2" customFormat="false" ht="15" hidden="false" customHeight="true" outlineLevel="0" collapsed="false">
      <c r="A2" s="28" t="n">
        <v>1</v>
      </c>
      <c r="B2" s="28" t="s">
        <v>108</v>
      </c>
      <c r="C2" s="28" t="n">
        <v>20</v>
      </c>
      <c r="D2" s="28" t="n">
        <v>9</v>
      </c>
      <c r="E2" s="28" t="s">
        <v>109</v>
      </c>
      <c r="F2" s="28" t="s">
        <v>104</v>
      </c>
      <c r="G2" s="28" t="n">
        <v>0.661857</v>
      </c>
      <c r="H2" s="28" t="n">
        <v>2685.03</v>
      </c>
      <c r="I2" s="28" t="n">
        <v>751.441</v>
      </c>
      <c r="J2" s="28" t="n">
        <v>128.89</v>
      </c>
      <c r="K2" s="34" t="s">
        <v>110</v>
      </c>
      <c r="L2" s="31" t="n">
        <f aca="false">R2+S2+T2</f>
        <v>1100717.541</v>
      </c>
      <c r="M2" s="32" t="n">
        <v>5</v>
      </c>
      <c r="N2" s="29" t="n">
        <f aca="false">2*M2*'Unit Rates'!$C$5</f>
        <v>300</v>
      </c>
      <c r="O2" s="29" t="n">
        <f aca="false">C2*D2</f>
        <v>180</v>
      </c>
      <c r="P2" s="29" t="n">
        <f aca="false">M2^2+C2</f>
        <v>45</v>
      </c>
      <c r="Q2" s="29" t="n">
        <f aca="false">C2*(ROUNDUP(D2/'Unit Rates'!$C$17,0)-1)</f>
        <v>40</v>
      </c>
      <c r="R2" s="31" t="n">
        <f aca="false">N2*('Unit Rates'!$C$13+'Unit Rates'!$C$14)</f>
        <v>524717.541</v>
      </c>
      <c r="S2" s="31" t="n">
        <f aca="false">C2*ROUNDUP(D2/'Unit Rates'!$C$17,0)*'Unit Rates'!$C$16+O2*'Unit Rates'!$C$19+Q2*'Unit Rates'!$C$18</f>
        <v>486000</v>
      </c>
      <c r="T2" s="31" t="n">
        <f aca="false">P2*'Unit Rates'!$C$21</f>
        <v>90000</v>
      </c>
      <c r="U2" s="33" t="n">
        <f aca="false">('Unit Rates'!$C$6-I2)/'Unit Rates'!$C$6</f>
        <v>0.0683730271885344</v>
      </c>
      <c r="V2" s="31" t="n">
        <f aca="false">L2/'Unit Rates'!$C$32</f>
        <v>8956.20456468674</v>
      </c>
    </row>
    <row r="3" customFormat="false" ht="15" hidden="false" customHeight="true" outlineLevel="0" collapsed="false">
      <c r="A3" s="28" t="n">
        <v>2</v>
      </c>
      <c r="B3" s="28" t="s">
        <v>108</v>
      </c>
      <c r="C3" s="28" t="n">
        <v>16</v>
      </c>
      <c r="D3" s="28" t="n">
        <v>9</v>
      </c>
      <c r="E3" s="28" t="s">
        <v>109</v>
      </c>
      <c r="F3" s="28" t="s">
        <v>118</v>
      </c>
      <c r="G3" s="28" t="s">
        <v>107</v>
      </c>
      <c r="H3" s="28" t="s">
        <v>107</v>
      </c>
      <c r="I3" s="28" t="n">
        <v>836.451</v>
      </c>
      <c r="J3" s="28" t="n">
        <v>142.45</v>
      </c>
      <c r="K3" s="30" t="s">
        <v>105</v>
      </c>
      <c r="L3" s="31" t="n">
        <f aca="false">R3+S3+T3</f>
        <v>995517.541</v>
      </c>
      <c r="M3" s="32" t="n">
        <v>5</v>
      </c>
      <c r="N3" s="29" t="n">
        <f aca="false">2*M3*'Unit Rates'!$C$5</f>
        <v>300</v>
      </c>
      <c r="O3" s="29" t="n">
        <f aca="false">C3*D3</f>
        <v>144</v>
      </c>
      <c r="P3" s="29" t="n">
        <f aca="false">M3^2+C3</f>
        <v>41</v>
      </c>
      <c r="Q3" s="29" t="n">
        <f aca="false">C3*(ROUNDUP(D3/'Unit Rates'!$C$17,0)-1)</f>
        <v>32</v>
      </c>
      <c r="R3" s="31" t="n">
        <f aca="false">N3*('Unit Rates'!$C$13+'Unit Rates'!$C$14)</f>
        <v>524717.541</v>
      </c>
      <c r="S3" s="31" t="n">
        <f aca="false">C3*ROUNDUP(D3/'Unit Rates'!$C$17,0)*'Unit Rates'!$C$16+O3*'Unit Rates'!$C$19+Q3*'Unit Rates'!$C$18</f>
        <v>388800</v>
      </c>
      <c r="T3" s="31" t="n">
        <f aca="false">P3*'Unit Rates'!$C$21</f>
        <v>82000</v>
      </c>
      <c r="U3" s="33" t="n">
        <f aca="false">('Unit Rates'!$C$6-I3)/'Unit Rates'!$C$6</f>
        <v>-0.0370212871471255</v>
      </c>
      <c r="V3" s="31" t="n">
        <f aca="false">L3/'Unit Rates'!$C$32</f>
        <v>8100.22409275834</v>
      </c>
    </row>
    <row r="4" customFormat="false" ht="15" hidden="false" customHeight="true" outlineLevel="0" collapsed="false">
      <c r="A4" s="28" t="n">
        <v>3</v>
      </c>
      <c r="B4" s="28" t="s">
        <v>108</v>
      </c>
      <c r="C4" s="28" t="n">
        <v>24</v>
      </c>
      <c r="D4" s="28" t="n">
        <v>9</v>
      </c>
      <c r="E4" s="28" t="s">
        <v>109</v>
      </c>
      <c r="F4" s="28" t="s">
        <v>119</v>
      </c>
      <c r="G4" s="28" t="n">
        <v>0.634816</v>
      </c>
      <c r="H4" s="28" t="n">
        <v>2654.18</v>
      </c>
      <c r="I4" s="28" t="n">
        <v>706.932</v>
      </c>
      <c r="J4" s="28" t="n">
        <v>118.55</v>
      </c>
      <c r="K4" s="34" t="s">
        <v>110</v>
      </c>
      <c r="L4" s="31" t="n">
        <f aca="false">R4+S4+T4</f>
        <v>1205917.541</v>
      </c>
      <c r="M4" s="32" t="n">
        <v>5</v>
      </c>
      <c r="N4" s="29" t="n">
        <f aca="false">2*M4*'Unit Rates'!$C$5</f>
        <v>300</v>
      </c>
      <c r="O4" s="29" t="n">
        <f aca="false">C4*D4</f>
        <v>216</v>
      </c>
      <c r="P4" s="29" t="n">
        <f aca="false">M4^2+C4</f>
        <v>49</v>
      </c>
      <c r="Q4" s="29" t="n">
        <f aca="false">C4*(ROUNDUP(D4/'Unit Rates'!$C$17,0)-1)</f>
        <v>48</v>
      </c>
      <c r="R4" s="31" t="n">
        <f aca="false">N4*('Unit Rates'!$C$13+'Unit Rates'!$C$14)</f>
        <v>524717.541</v>
      </c>
      <c r="S4" s="31" t="n">
        <f aca="false">C4*ROUNDUP(D4/'Unit Rates'!$C$17,0)*'Unit Rates'!$C$16+O4*'Unit Rates'!$C$19+Q4*'Unit Rates'!$C$18</f>
        <v>583200</v>
      </c>
      <c r="T4" s="31" t="n">
        <f aca="false">P4*'Unit Rates'!$C$21</f>
        <v>98000</v>
      </c>
      <c r="U4" s="33" t="n">
        <f aca="false">('Unit Rates'!$C$6-I4)/'Unit Rates'!$C$6</f>
        <v>0.123554718010389</v>
      </c>
      <c r="V4" s="31" t="n">
        <f aca="false">L4/'Unit Rates'!$C$32</f>
        <v>9812.18503661514</v>
      </c>
    </row>
    <row r="6" customFormat="false" ht="15" hidden="false" customHeight="true" outlineLevel="0" collapsed="false">
      <c r="A6" s="35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7" activeCellId="0" sqref="E7"/>
    </sheetView>
  </sheetViews>
  <sheetFormatPr defaultColWidth="8.5390625" defaultRowHeight="15" zeroHeight="false" outlineLevelRow="0" outlineLevelCol="0"/>
  <cols>
    <col collapsed="false" customWidth="true" hidden="false" outlineLevel="0" max="2" min="2" style="28" width="15.72"/>
    <col collapsed="false" customWidth="true" hidden="false" outlineLevel="0" max="4" min="4" style="28" width="12.86"/>
    <col collapsed="false" customWidth="true" hidden="false" outlineLevel="0" max="5" min="5" style="28" width="22.14"/>
    <col collapsed="false" customWidth="true" hidden="false" outlineLevel="0" max="6" min="6" style="28" width="17"/>
    <col collapsed="false" customWidth="true" hidden="false" outlineLevel="0" max="7" min="7" style="28" width="19.29"/>
    <col collapsed="false" customWidth="true" hidden="false" outlineLevel="0" max="12" min="12" style="28" width="15.72"/>
    <col collapsed="false" customWidth="true" hidden="false" outlineLevel="0" max="13" min="13" style="28" width="26.6"/>
    <col collapsed="false" customWidth="true" hidden="false" outlineLevel="0" max="14" min="14" style="28" width="19"/>
    <col collapsed="false" customWidth="true" hidden="false" outlineLevel="0" max="15" min="15" style="28" width="14"/>
    <col collapsed="false" customWidth="true" hidden="false" outlineLevel="0" max="16" min="16" style="28" width="27.55"/>
    <col collapsed="false" customWidth="true" hidden="false" outlineLevel="0" max="17" min="17" style="28" width="14"/>
    <col collapsed="false" customWidth="true" hidden="false" outlineLevel="0" max="18" min="18" style="28" width="19"/>
    <col collapsed="false" customWidth="true" hidden="false" outlineLevel="0" max="19" min="19" style="28" width="33.25"/>
    <col collapsed="false" customWidth="true" hidden="false" outlineLevel="0" max="20" min="20" style="28" width="15.2"/>
    <col collapsed="false" customWidth="true" hidden="false" outlineLevel="0" max="21" min="21" style="28" width="19.95"/>
    <col collapsed="false" customWidth="true" hidden="false" outlineLevel="0" max="22" min="22" style="28" width="14.25"/>
  </cols>
  <sheetData>
    <row r="1" customFormat="false" ht="15" hidden="false" customHeight="true" outlineLevel="0" collapsed="false">
      <c r="A1" s="28" t="s">
        <v>81</v>
      </c>
      <c r="B1" s="28" t="s">
        <v>82</v>
      </c>
      <c r="C1" s="28" t="s">
        <v>83</v>
      </c>
      <c r="D1" s="28" t="s">
        <v>84</v>
      </c>
      <c r="E1" s="28" t="s">
        <v>85</v>
      </c>
      <c r="F1" s="28" t="s">
        <v>86</v>
      </c>
      <c r="G1" s="28" t="s">
        <v>87</v>
      </c>
      <c r="H1" s="28" t="s">
        <v>31</v>
      </c>
      <c r="I1" s="28" t="s">
        <v>88</v>
      </c>
      <c r="J1" s="28" t="s">
        <v>89</v>
      </c>
      <c r="K1" s="28" t="s">
        <v>90</v>
      </c>
      <c r="L1" s="28" t="s">
        <v>91</v>
      </c>
      <c r="M1" s="29" t="s">
        <v>92</v>
      </c>
      <c r="N1" s="29" t="s">
        <v>93</v>
      </c>
      <c r="O1" s="29" t="s">
        <v>94</v>
      </c>
      <c r="P1" s="29" t="s">
        <v>95</v>
      </c>
      <c r="Q1" s="29" t="s">
        <v>96</v>
      </c>
      <c r="R1" s="29" t="s">
        <v>97</v>
      </c>
      <c r="S1" s="29" t="s">
        <v>98</v>
      </c>
      <c r="T1" s="29" t="s">
        <v>99</v>
      </c>
      <c r="U1" s="29" t="s">
        <v>100</v>
      </c>
      <c r="V1" s="29" t="s">
        <v>101</v>
      </c>
    </row>
    <row r="2" customFormat="false" ht="15" hidden="false" customHeight="true" outlineLevel="0" collapsed="false">
      <c r="A2" s="28" t="n">
        <v>1</v>
      </c>
      <c r="B2" s="28" t="s">
        <v>108</v>
      </c>
      <c r="C2" s="28" t="n">
        <v>20</v>
      </c>
      <c r="D2" s="28" t="n">
        <v>9</v>
      </c>
      <c r="E2" s="28" t="s">
        <v>109</v>
      </c>
      <c r="F2" s="28" t="s">
        <v>104</v>
      </c>
      <c r="G2" s="28" t="n">
        <v>0.661857</v>
      </c>
      <c r="H2" s="28" t="n">
        <v>2685.03</v>
      </c>
      <c r="I2" s="28" t="n">
        <v>751.441</v>
      </c>
      <c r="J2" s="28" t="n">
        <v>128.89</v>
      </c>
      <c r="K2" s="34" t="s">
        <v>110</v>
      </c>
      <c r="L2" s="31" t="n">
        <f aca="false">R2+S2+T2</f>
        <v>1100717.541</v>
      </c>
      <c r="M2" s="32" t="n">
        <v>5</v>
      </c>
      <c r="N2" s="29" t="n">
        <f aca="false">2*M2*'Unit Rates'!$C$5</f>
        <v>300</v>
      </c>
      <c r="O2" s="29" t="n">
        <f aca="false">C2*D2</f>
        <v>180</v>
      </c>
      <c r="P2" s="29" t="n">
        <f aca="false">M2^2+C2</f>
        <v>45</v>
      </c>
      <c r="Q2" s="29" t="n">
        <f aca="false">C2*(ROUNDUP(D2/'Unit Rates'!$C$17,0)-1)</f>
        <v>40</v>
      </c>
      <c r="R2" s="31" t="n">
        <f aca="false">N2*('Unit Rates'!$C$13+'Unit Rates'!$C$14)</f>
        <v>524717.541</v>
      </c>
      <c r="S2" s="31" t="n">
        <f aca="false">C2*ROUNDUP(D2/'Unit Rates'!$C$17,0)*'Unit Rates'!$C$16+O2*'Unit Rates'!$C$19+Q2*'Unit Rates'!$C$18</f>
        <v>486000</v>
      </c>
      <c r="T2" s="31" t="n">
        <f aca="false">P2*'Unit Rates'!$C$21</f>
        <v>90000</v>
      </c>
      <c r="U2" s="33" t="n">
        <f aca="false">('Unit Rates'!$C$6-I2)/'Unit Rates'!$C$6</f>
        <v>0.0683730271885344</v>
      </c>
      <c r="V2" s="31" t="n">
        <f aca="false">L2/'Unit Rates'!$C$32</f>
        <v>8956.20456468674</v>
      </c>
    </row>
    <row r="3" s="36" customFormat="true" ht="15" hidden="false" customHeight="true" outlineLevel="0" collapsed="false">
      <c r="A3" s="36" t="n">
        <v>2</v>
      </c>
      <c r="B3" s="36" t="s">
        <v>108</v>
      </c>
      <c r="C3" s="36" t="n">
        <v>20</v>
      </c>
      <c r="D3" s="36" t="n">
        <v>8</v>
      </c>
      <c r="E3" s="36" t="s">
        <v>109</v>
      </c>
      <c r="F3" s="36" t="s">
        <v>120</v>
      </c>
      <c r="G3" s="36" t="n">
        <v>0.682767</v>
      </c>
      <c r="H3" s="36" t="n">
        <v>2707.65</v>
      </c>
      <c r="I3" s="36" t="n">
        <v>792.355</v>
      </c>
      <c r="J3" s="36" t="n">
        <v>139.39</v>
      </c>
      <c r="K3" s="37" t="s">
        <v>110</v>
      </c>
      <c r="L3" s="31" t="n">
        <f aca="false">R3+S3+T3</f>
        <v>1092717.541</v>
      </c>
      <c r="M3" s="32" t="n">
        <v>5</v>
      </c>
      <c r="N3" s="29" t="n">
        <f aca="false">2*M3*'Unit Rates'!$C$5</f>
        <v>300</v>
      </c>
      <c r="O3" s="29" t="n">
        <f aca="false">C3*D3</f>
        <v>160</v>
      </c>
      <c r="P3" s="29" t="n">
        <f aca="false">M3^2+C3</f>
        <v>45</v>
      </c>
      <c r="Q3" s="29" t="n">
        <f aca="false">C3*(ROUNDUP(D3/'Unit Rates'!$C$17,0)-1)</f>
        <v>40</v>
      </c>
      <c r="R3" s="31" t="n">
        <f aca="false">N3*('Unit Rates'!$C$13+'Unit Rates'!$C$14)</f>
        <v>524717.541</v>
      </c>
      <c r="S3" s="31" t="n">
        <f aca="false">C3*ROUNDUP(D3/'Unit Rates'!$C$17,0)*'Unit Rates'!$C$16+O3*'Unit Rates'!$C$19+Q3*'Unit Rates'!$C$18</f>
        <v>478000</v>
      </c>
      <c r="T3" s="31" t="n">
        <f aca="false">P3*'Unit Rates'!$C$21</f>
        <v>90000</v>
      </c>
      <c r="U3" s="33" t="n">
        <f aca="false">('Unit Rates'!$C$6-I3)/'Unit Rates'!$C$6</f>
        <v>0.0176483715394438</v>
      </c>
      <c r="V3" s="31" t="n">
        <f aca="false">L3/'Unit Rates'!$C$32</f>
        <v>8891.11099267698</v>
      </c>
    </row>
    <row r="4" customFormat="false" ht="15" hidden="false" customHeight="true" outlineLevel="0" collapsed="false">
      <c r="A4" s="28" t="n">
        <v>3</v>
      </c>
      <c r="B4" s="28" t="s">
        <v>108</v>
      </c>
      <c r="C4" s="28" t="n">
        <v>20</v>
      </c>
      <c r="D4" s="28" t="n">
        <v>7</v>
      </c>
      <c r="E4" s="28" t="s">
        <v>109</v>
      </c>
      <c r="F4" s="28" t="s">
        <v>121</v>
      </c>
      <c r="G4" s="28" t="s">
        <v>107</v>
      </c>
      <c r="H4" s="28" t="s">
        <v>107</v>
      </c>
      <c r="I4" s="28" t="n">
        <v>839.528</v>
      </c>
      <c r="J4" s="28" t="n">
        <v>150.84</v>
      </c>
      <c r="K4" s="30" t="s">
        <v>105</v>
      </c>
      <c r="L4" s="31" t="n">
        <f aca="false">R4+S4+T4</f>
        <v>1084717.541</v>
      </c>
      <c r="M4" s="32" t="n">
        <v>5</v>
      </c>
      <c r="N4" s="29" t="n">
        <f aca="false">2*M4*'Unit Rates'!$C$5</f>
        <v>300</v>
      </c>
      <c r="O4" s="29" t="n">
        <f aca="false">C4*D4</f>
        <v>140</v>
      </c>
      <c r="P4" s="29" t="n">
        <f aca="false">M4^2+C4</f>
        <v>45</v>
      </c>
      <c r="Q4" s="29" t="n">
        <f aca="false">C4*(ROUNDUP(D4/'Unit Rates'!$C$17,0)-1)</f>
        <v>40</v>
      </c>
      <c r="R4" s="31" t="n">
        <f aca="false">N4*('Unit Rates'!$C$13+'Unit Rates'!$C$14)</f>
        <v>524717.541</v>
      </c>
      <c r="S4" s="31" t="n">
        <f aca="false">C4*ROUNDUP(D4/'Unit Rates'!$C$17,0)*'Unit Rates'!$C$16+O4*'Unit Rates'!$C$19+Q4*'Unit Rates'!$C$18</f>
        <v>470000</v>
      </c>
      <c r="T4" s="31" t="n">
        <f aca="false">P4*'Unit Rates'!$C$21</f>
        <v>90000</v>
      </c>
      <c r="U4" s="33" t="n">
        <f aca="false">('Unit Rates'!$C$6-I4)/'Unit Rates'!$C$6</f>
        <v>-0.040836112523091</v>
      </c>
      <c r="V4" s="31" t="n">
        <f aca="false">L4/'Unit Rates'!$C$32</f>
        <v>8826.01742066721</v>
      </c>
    </row>
    <row r="6" customFormat="false" ht="15" hidden="false" customHeight="true" outlineLevel="0" collapsed="false">
      <c r="A6" s="35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5" min="15" style="0" width="11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8"/>
    <col collapsed="false" customWidth="true" hidden="false" outlineLevel="0" max="20" min="20" style="0" width="14"/>
    <col collapsed="false" customWidth="true" hidden="false" outlineLevel="0" max="22" min="21" style="0" width="12"/>
    <col collapsed="false" customWidth="true" hidden="false" outlineLevel="0" max="23" min="23" style="0" width="16"/>
    <col collapsed="false" customWidth="true" hidden="false" outlineLevel="0" max="24" min="24" style="0" width="12"/>
    <col collapsed="false" customWidth="true" hidden="false" outlineLevel="0" max="25" min="25" style="0" width="11"/>
    <col collapsed="false" customWidth="true" hidden="false" outlineLevel="0" max="26" min="26" style="0" width="7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31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  <c r="O1" s="3" t="s">
        <v>94</v>
      </c>
      <c r="P1" s="3" t="s">
        <v>122</v>
      </c>
      <c r="Q1" s="3" t="s">
        <v>96</v>
      </c>
      <c r="R1" s="3" t="s">
        <v>97</v>
      </c>
      <c r="S1" s="3" t="s">
        <v>98</v>
      </c>
      <c r="T1" s="3" t="s">
        <v>99</v>
      </c>
      <c r="U1" s="3" t="s">
        <v>100</v>
      </c>
      <c r="V1" s="3" t="s">
        <v>101</v>
      </c>
      <c r="W1" s="3" t="s">
        <v>123</v>
      </c>
      <c r="X1" s="3" t="s">
        <v>124</v>
      </c>
      <c r="Y1" s="3" t="s">
        <v>125</v>
      </c>
      <c r="Z1" s="3" t="s">
        <v>126</v>
      </c>
    </row>
    <row r="2" customFormat="false" ht="15" hidden="false" customHeight="false" outlineLevel="0" collapsed="false">
      <c r="A2" s="3" t="n">
        <v>1</v>
      </c>
      <c r="B2" s="3" t="s">
        <v>127</v>
      </c>
      <c r="C2" s="3" t="n">
        <v>20</v>
      </c>
      <c r="D2" s="3" t="n">
        <v>9</v>
      </c>
      <c r="E2" s="3" t="s">
        <v>128</v>
      </c>
      <c r="F2" s="3" t="s">
        <v>104</v>
      </c>
      <c r="G2" s="3" t="s">
        <v>107</v>
      </c>
      <c r="H2" s="3" t="n">
        <v>2635.37</v>
      </c>
      <c r="I2" s="3" t="n">
        <v>669.213</v>
      </c>
      <c r="J2" s="3" t="n">
        <v>141.91</v>
      </c>
      <c r="K2" s="3" t="str">
        <f aca="false">IF(AND(I2&lt;='Unit Rates'!$C$6,W2&lt;='Unit Rates'!$C$6,J2&lt;='Unit Rates'!$C$41),"PASS","FAIL")</f>
        <v>PASS</v>
      </c>
      <c r="L2" s="38" t="n">
        <f aca="false">R2+S2+T2</f>
        <v>1541517.93664</v>
      </c>
      <c r="M2" s="39" t="n">
        <v>6</v>
      </c>
      <c r="N2" s="3" t="n">
        <f aca="false">2*M2*'Unit Rates'!$C$5+4*('Unit Rates'!$C$5+2*'Unit Rates'!$C$40)+4*M2*'Unit Rates'!$C$40</f>
        <v>512</v>
      </c>
      <c r="O2" s="3" t="n">
        <f aca="false">C2*D2</f>
        <v>180</v>
      </c>
      <c r="P2" s="3" t="n">
        <f aca="false">M2^2+C2+4*M2</f>
        <v>80</v>
      </c>
      <c r="Q2" s="3" t="n">
        <f aca="false">C2*(ROUNDUP(D2/'Unit Rates'!$C$17,0)-1)</f>
        <v>40</v>
      </c>
      <c r="R2" s="38" t="n">
        <f aca="false">N2*('Unit Rates'!$C$13+'Unit Rates'!$C$14)</f>
        <v>895517.93664</v>
      </c>
      <c r="S2" s="38" t="n">
        <f aca="false">C2*ROUNDUP(D2/'Unit Rates'!$C$17,0)*'Unit Rates'!$C$16+O2*'Unit Rates'!$C$19+Q2*'Unit Rates'!$C$18</f>
        <v>486000</v>
      </c>
      <c r="T2" s="38" t="n">
        <f aca="false">P2*'Unit Rates'!$C$21</f>
        <v>160000</v>
      </c>
      <c r="U2" s="40" t="n">
        <f aca="false">('Unit Rates'!$C$6-I2)/'Unit Rates'!$C$6</f>
        <v>0.170318253387719</v>
      </c>
      <c r="V2" s="38" t="n">
        <f aca="false">L2/'Unit Rates'!$C$32</f>
        <v>12542.8636016273</v>
      </c>
      <c r="W2" s="3" t="n">
        <v>631.453</v>
      </c>
      <c r="X2" s="40" t="n">
        <f aca="false">('Unit Rates'!$C$6-W2)/'Unit Rates'!$C$6</f>
        <v>0.217132620042401</v>
      </c>
      <c r="Y2" s="3" t="n">
        <v>1</v>
      </c>
      <c r="Z2" s="3" t="s">
        <v>129</v>
      </c>
    </row>
    <row r="3" customFormat="false" ht="15" hidden="false" customHeight="false" outlineLevel="0" collapsed="false">
      <c r="A3" s="41" t="n">
        <v>2</v>
      </c>
      <c r="B3" s="41" t="s">
        <v>127</v>
      </c>
      <c r="C3" s="41" t="n">
        <v>20</v>
      </c>
      <c r="D3" s="41" t="n">
        <v>9</v>
      </c>
      <c r="E3" s="41" t="s">
        <v>128</v>
      </c>
      <c r="F3" s="41" t="s">
        <v>104</v>
      </c>
      <c r="G3" s="41" t="s">
        <v>107</v>
      </c>
      <c r="H3" s="41" t="n">
        <v>2635.21</v>
      </c>
      <c r="I3" s="41" t="n">
        <v>666.36</v>
      </c>
      <c r="J3" s="41" t="n">
        <v>149.07</v>
      </c>
      <c r="K3" s="41" t="str">
        <f aca="false">IF(AND(I3&lt;='Unit Rates'!$C$6,W3&lt;='Unit Rates'!$C$6,J3&lt;='Unit Rates'!$C$41),"PASS","FAIL")</f>
        <v>PASS</v>
      </c>
      <c r="L3" s="42" t="n">
        <f aca="false">R3+S3+T3</f>
        <v>1541517.93664</v>
      </c>
      <c r="M3" s="43" t="n">
        <v>6</v>
      </c>
      <c r="N3" s="41" t="n">
        <f aca="false">2*M3*'Unit Rates'!$C$5+4*('Unit Rates'!$C$5+2*'Unit Rates'!$C$40)+4*M3*'Unit Rates'!$C$40</f>
        <v>512</v>
      </c>
      <c r="O3" s="41" t="n">
        <f aca="false">C3*D3</f>
        <v>180</v>
      </c>
      <c r="P3" s="41" t="n">
        <f aca="false">M3^2+C3+4*M3</f>
        <v>80</v>
      </c>
      <c r="Q3" s="41" t="n">
        <f aca="false">C3*(ROUNDUP(D3/'Unit Rates'!$C$17,0)-1)</f>
        <v>40</v>
      </c>
      <c r="R3" s="42" t="n">
        <f aca="false">N3*('Unit Rates'!$C$13+'Unit Rates'!$C$14)</f>
        <v>895517.93664</v>
      </c>
      <c r="S3" s="42" t="n">
        <f aca="false">C3*ROUNDUP(D3/'Unit Rates'!$C$17,0)*'Unit Rates'!$C$16+O3*'Unit Rates'!$C$19+Q3*'Unit Rates'!$C$18</f>
        <v>486000</v>
      </c>
      <c r="T3" s="42" t="n">
        <f aca="false">P3*'Unit Rates'!$C$21</f>
        <v>160000</v>
      </c>
      <c r="U3" s="44" t="n">
        <f aca="false">('Unit Rates'!$C$6-I3)/'Unit Rates'!$C$6</f>
        <v>0.173855366419123</v>
      </c>
      <c r="V3" s="42" t="n">
        <f aca="false">L3/'Unit Rates'!$C$32</f>
        <v>12542.8636016273</v>
      </c>
      <c r="W3" s="41" t="n">
        <v>609.74</v>
      </c>
      <c r="X3" s="44" t="n">
        <f aca="false">('Unit Rates'!$C$6-W3)/'Unit Rates'!$C$6</f>
        <v>0.244052120656095</v>
      </c>
      <c r="Y3" s="41" t="n">
        <v>6</v>
      </c>
      <c r="Z3" s="45" t="s">
        <v>130</v>
      </c>
    </row>
    <row r="4" customFormat="false" ht="15" hidden="false" customHeight="false" outlineLevel="0" collapsed="false">
      <c r="A4" s="3" t="n">
        <v>3</v>
      </c>
      <c r="B4" s="3" t="s">
        <v>131</v>
      </c>
      <c r="C4" s="3" t="n">
        <v>20</v>
      </c>
      <c r="D4" s="3" t="n">
        <v>9</v>
      </c>
      <c r="E4" s="3" t="s">
        <v>132</v>
      </c>
      <c r="F4" s="3" t="s">
        <v>104</v>
      </c>
      <c r="G4" s="3" t="s">
        <v>107</v>
      </c>
      <c r="H4" s="3" t="n">
        <v>2640.08</v>
      </c>
      <c r="I4" s="3" t="n">
        <v>722.395</v>
      </c>
      <c r="J4" s="3" t="n">
        <v>151.21</v>
      </c>
      <c r="K4" s="3" t="str">
        <f aca="false">IF(AND(I4&lt;='Unit Rates'!$C$6,W4&lt;='Unit Rates'!$C$6,J4&lt;='Unit Rates'!$C$41),"PASS","FAIL")</f>
        <v>PASS</v>
      </c>
      <c r="L4" s="38" t="n">
        <f aca="false">R4+S4+T4</f>
        <v>1399578.19456</v>
      </c>
      <c r="M4" s="39" t="n">
        <v>5</v>
      </c>
      <c r="N4" s="3" t="n">
        <f aca="false">2*M4*'Unit Rates'!$C$5+4*('Unit Rates'!$C$5+2*'Unit Rates'!$C$40)+4*M4*'Unit Rates'!$C$40</f>
        <v>448</v>
      </c>
      <c r="O4" s="3" t="n">
        <f aca="false">C4*D4</f>
        <v>180</v>
      </c>
      <c r="P4" s="3" t="n">
        <f aca="false">M4^2+C4+4*M4</f>
        <v>65</v>
      </c>
      <c r="Q4" s="3" t="n">
        <f aca="false">C4*(ROUNDUP(D4/'Unit Rates'!$C$17,0)-1)</f>
        <v>40</v>
      </c>
      <c r="R4" s="38" t="n">
        <f aca="false">N4*('Unit Rates'!$C$13+'Unit Rates'!$C$14)</f>
        <v>783578.19456</v>
      </c>
      <c r="S4" s="38" t="n">
        <f aca="false">C4*ROUNDUP(D4/'Unit Rates'!$C$17,0)*'Unit Rates'!$C$16+O4*'Unit Rates'!$C$19+Q4*'Unit Rates'!$C$18</f>
        <v>486000</v>
      </c>
      <c r="T4" s="38" t="n">
        <f aca="false">P4*'Unit Rates'!$C$21</f>
        <v>130000</v>
      </c>
      <c r="U4" s="40" t="n">
        <f aca="false">('Unit Rates'!$C$6-I4)/'Unit Rates'!$C$6</f>
        <v>0.104383887724866</v>
      </c>
      <c r="V4" s="38" t="n">
        <f aca="false">L4/'Unit Rates'!$C$32</f>
        <v>11387.9429988609</v>
      </c>
      <c r="W4" s="3" t="n">
        <v>612.575</v>
      </c>
      <c r="X4" s="40" t="n">
        <f aca="false">('Unit Rates'!$C$6-W4)/'Unit Rates'!$C$6</f>
        <v>0.240537323795237</v>
      </c>
      <c r="Y4" s="3" t="n">
        <v>6</v>
      </c>
      <c r="Z4" s="3" t="s">
        <v>133</v>
      </c>
    </row>
    <row r="6" customFormat="false" ht="15" hidden="false" customHeight="false" outlineLevel="0" collapsed="false">
      <c r="A6" s="14" t="s">
        <v>134</v>
      </c>
    </row>
    <row r="7" customFormat="false" ht="15" hidden="false" customHeight="false" outlineLevel="0" collapsed="false">
      <c r="A7" s="14" t="s">
        <v>135</v>
      </c>
    </row>
  </sheetData>
  <conditionalFormatting sqref="K2:K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28" width="38"/>
    <col collapsed="false" customWidth="true" hidden="false" outlineLevel="0" max="2" min="2" style="28" width="16"/>
    <col collapsed="false" customWidth="true" hidden="false" outlineLevel="0" max="3" min="3" style="28" width="14"/>
    <col collapsed="false" customWidth="true" hidden="false" outlineLevel="0" max="4" min="4" style="28" width="11"/>
    <col collapsed="false" customWidth="true" hidden="false" outlineLevel="0" max="5" min="5" style="28" width="95"/>
  </cols>
  <sheetData>
    <row r="1" customFormat="false" ht="17.25" hidden="false" customHeight="true" outlineLevel="0" collapsed="false">
      <c r="A1" s="46" t="s">
        <v>136</v>
      </c>
    </row>
    <row r="3" customFormat="false" ht="15" hidden="false" customHeight="true" outlineLevel="0" collapsed="false">
      <c r="A3" s="47" t="s">
        <v>45</v>
      </c>
      <c r="B3" s="47"/>
      <c r="C3" s="47" t="s">
        <v>137</v>
      </c>
      <c r="D3" s="47" t="s">
        <v>138</v>
      </c>
      <c r="E3" s="48" t="s">
        <v>139</v>
      </c>
    </row>
    <row r="4" customFormat="false" ht="15" hidden="false" customHeight="true" outlineLevel="0" collapsed="false">
      <c r="A4" s="49" t="s">
        <v>140</v>
      </c>
    </row>
    <row r="5" customFormat="false" ht="15" hidden="false" customHeight="true" outlineLevel="0" collapsed="false">
      <c r="A5" s="50" t="s">
        <v>141</v>
      </c>
      <c r="B5" s="50"/>
      <c r="C5" s="32" t="n">
        <v>30</v>
      </c>
      <c r="D5" s="29" t="s">
        <v>142</v>
      </c>
      <c r="E5" s="35" t="s">
        <v>143</v>
      </c>
    </row>
    <row r="6" customFormat="false" ht="15" hidden="false" customHeight="true" outlineLevel="0" collapsed="false">
      <c r="A6" s="50" t="s">
        <v>144</v>
      </c>
      <c r="B6" s="50"/>
      <c r="C6" s="32" t="n">
        <v>806.59</v>
      </c>
      <c r="D6" s="29" t="s">
        <v>145</v>
      </c>
      <c r="E6" s="35" t="s">
        <v>146</v>
      </c>
    </row>
    <row r="7" customFormat="false" ht="15" hidden="false" customHeight="true" outlineLevel="0" collapsed="false">
      <c r="A7" s="50" t="s">
        <v>147</v>
      </c>
      <c r="B7" s="50"/>
      <c r="C7" s="32" t="n">
        <v>70</v>
      </c>
      <c r="D7" s="29" t="s">
        <v>148</v>
      </c>
      <c r="E7" s="35" t="s">
        <v>149</v>
      </c>
    </row>
    <row r="8" customFormat="false" ht="15" hidden="false" customHeight="true" outlineLevel="0" collapsed="false">
      <c r="A8" s="49" t="s">
        <v>150</v>
      </c>
    </row>
    <row r="9" customFormat="false" ht="15" hidden="false" customHeight="true" outlineLevel="0" collapsed="false">
      <c r="A9" s="50" t="s">
        <v>151</v>
      </c>
      <c r="B9" s="50"/>
      <c r="C9" s="32" t="n">
        <v>8.89</v>
      </c>
      <c r="D9" s="29" t="s">
        <v>152</v>
      </c>
      <c r="E9" s="35" t="s">
        <v>153</v>
      </c>
    </row>
    <row r="10" customFormat="false" ht="15" hidden="false" customHeight="true" outlineLevel="0" collapsed="false">
      <c r="A10" s="50" t="s">
        <v>154</v>
      </c>
      <c r="B10" s="50"/>
      <c r="C10" s="51" t="n">
        <f aca="false">C7*C9/1000</f>
        <v>0.6223</v>
      </c>
      <c r="D10" s="29" t="s">
        <v>155</v>
      </c>
      <c r="E10" s="35" t="s">
        <v>156</v>
      </c>
    </row>
    <row r="11" customFormat="false" ht="15" hidden="false" customHeight="true" outlineLevel="0" collapsed="false">
      <c r="A11" s="50" t="s">
        <v>157</v>
      </c>
      <c r="B11" s="50"/>
      <c r="C11" s="52" t="n">
        <v>1853</v>
      </c>
      <c r="D11" s="29" t="s">
        <v>158</v>
      </c>
      <c r="E11" s="35" t="s">
        <v>159</v>
      </c>
    </row>
    <row r="12" customFormat="false" ht="15" hidden="false" customHeight="true" outlineLevel="0" collapsed="false">
      <c r="A12" s="50" t="s">
        <v>160</v>
      </c>
      <c r="B12" s="50"/>
      <c r="C12" s="53" t="n">
        <v>0.3</v>
      </c>
      <c r="D12" s="29" t="s">
        <v>161</v>
      </c>
      <c r="E12" s="35" t="s">
        <v>162</v>
      </c>
    </row>
    <row r="13" customFormat="false" ht="15" hidden="false" customHeight="true" outlineLevel="0" collapsed="false">
      <c r="A13" s="50" t="s">
        <v>163</v>
      </c>
      <c r="B13" s="50"/>
      <c r="C13" s="31" t="n">
        <f aca="false">C10*C11*(1+C12)</f>
        <v>1499.05847</v>
      </c>
      <c r="D13" s="29" t="s">
        <v>164</v>
      </c>
      <c r="E13" s="35" t="s">
        <v>165</v>
      </c>
    </row>
    <row r="14" customFormat="false" ht="15" hidden="false" customHeight="true" outlineLevel="0" collapsed="false">
      <c r="A14" s="50" t="s">
        <v>166</v>
      </c>
      <c r="B14" s="50"/>
      <c r="C14" s="52" t="n">
        <v>250</v>
      </c>
      <c r="D14" s="29" t="s">
        <v>164</v>
      </c>
      <c r="E14" s="35" t="s">
        <v>167</v>
      </c>
    </row>
    <row r="15" customFormat="false" ht="15" hidden="false" customHeight="true" outlineLevel="0" collapsed="false">
      <c r="A15" s="49" t="s">
        <v>168</v>
      </c>
    </row>
    <row r="16" customFormat="false" ht="15" hidden="false" customHeight="true" outlineLevel="0" collapsed="false">
      <c r="A16" s="50" t="s">
        <v>169</v>
      </c>
      <c r="B16" s="50"/>
      <c r="C16" s="52" t="n">
        <v>6500</v>
      </c>
      <c r="D16" s="29" t="s">
        <v>170</v>
      </c>
      <c r="E16" s="35" t="s">
        <v>171</v>
      </c>
    </row>
    <row r="17" customFormat="false" ht="15" hidden="false" customHeight="true" outlineLevel="0" collapsed="false">
      <c r="A17" s="50" t="s">
        <v>172</v>
      </c>
      <c r="B17" s="50"/>
      <c r="C17" s="32" t="n">
        <v>3</v>
      </c>
      <c r="D17" s="29" t="s">
        <v>142</v>
      </c>
      <c r="E17" s="35" t="s">
        <v>173</v>
      </c>
    </row>
    <row r="18" customFormat="false" ht="15" hidden="false" customHeight="true" outlineLevel="0" collapsed="false">
      <c r="A18" s="50" t="s">
        <v>174</v>
      </c>
      <c r="B18" s="50"/>
      <c r="C18" s="32" t="n">
        <v>600</v>
      </c>
      <c r="D18" s="29" t="s">
        <v>170</v>
      </c>
      <c r="E18" s="35" t="s">
        <v>175</v>
      </c>
    </row>
    <row r="19" customFormat="false" ht="15" hidden="false" customHeight="true" outlineLevel="0" collapsed="false">
      <c r="A19" s="50" t="s">
        <v>176</v>
      </c>
      <c r="B19" s="50"/>
      <c r="C19" s="52" t="n">
        <v>400</v>
      </c>
      <c r="D19" s="29" t="s">
        <v>164</v>
      </c>
      <c r="E19" s="35" t="s">
        <v>175</v>
      </c>
    </row>
    <row r="20" customFormat="false" ht="15" hidden="false" customHeight="true" outlineLevel="0" collapsed="false">
      <c r="A20" s="49" t="s">
        <v>177</v>
      </c>
    </row>
    <row r="21" customFormat="false" ht="15" hidden="false" customHeight="true" outlineLevel="0" collapsed="false">
      <c r="A21" s="50" t="s">
        <v>178</v>
      </c>
      <c r="B21" s="50"/>
      <c r="C21" s="52" t="n">
        <v>2000</v>
      </c>
      <c r="D21" s="29" t="s">
        <v>179</v>
      </c>
      <c r="E21" s="35" t="s">
        <v>180</v>
      </c>
    </row>
    <row r="22" customFormat="false" ht="15" hidden="false" customHeight="true" outlineLevel="0" collapsed="false">
      <c r="A22" s="49" t="s">
        <v>181</v>
      </c>
    </row>
    <row r="23" customFormat="false" ht="15" hidden="false" customHeight="true" outlineLevel="0" collapsed="false">
      <c r="A23" s="50" t="s">
        <v>182</v>
      </c>
      <c r="B23" s="50"/>
      <c r="C23" s="32" t="n">
        <v>1.5</v>
      </c>
      <c r="D23" s="29" t="s">
        <v>142</v>
      </c>
      <c r="E23" s="35" t="s">
        <v>183</v>
      </c>
    </row>
    <row r="24" customFormat="false" ht="15" hidden="false" customHeight="true" outlineLevel="0" collapsed="false">
      <c r="A24" s="50" t="s">
        <v>184</v>
      </c>
      <c r="B24" s="50"/>
      <c r="C24" s="32" t="n">
        <v>0.1</v>
      </c>
      <c r="D24" s="29" t="s">
        <v>142</v>
      </c>
      <c r="E24" s="35" t="s">
        <v>185</v>
      </c>
    </row>
    <row r="25" customFormat="false" ht="15" hidden="false" customHeight="true" outlineLevel="0" collapsed="false">
      <c r="A25" s="50" t="s">
        <v>186</v>
      </c>
      <c r="B25" s="50"/>
      <c r="C25" s="52" t="n">
        <v>220</v>
      </c>
      <c r="D25" s="29" t="s">
        <v>187</v>
      </c>
      <c r="E25" s="35" t="s">
        <v>188</v>
      </c>
    </row>
    <row r="26" customFormat="false" ht="15" hidden="false" customHeight="true" outlineLevel="0" collapsed="false">
      <c r="A26" s="50" t="s">
        <v>189</v>
      </c>
      <c r="B26" s="50"/>
      <c r="C26" s="32" t="n">
        <v>15</v>
      </c>
      <c r="D26" s="29" t="s">
        <v>187</v>
      </c>
      <c r="E26" s="35" t="s">
        <v>175</v>
      </c>
    </row>
    <row r="27" customFormat="false" ht="15" hidden="false" customHeight="true" outlineLevel="0" collapsed="false">
      <c r="A27" s="50" t="s">
        <v>190</v>
      </c>
      <c r="B27" s="50"/>
      <c r="C27" s="54" t="n">
        <v>60000</v>
      </c>
      <c r="D27" s="29" t="s">
        <v>191</v>
      </c>
      <c r="E27" s="35" t="s">
        <v>175</v>
      </c>
    </row>
    <row r="28" customFormat="false" ht="15" hidden="false" customHeight="true" outlineLevel="0" collapsed="false">
      <c r="A28" s="49" t="s">
        <v>192</v>
      </c>
    </row>
    <row r="29" customFormat="false" ht="15" hidden="false" customHeight="true" outlineLevel="0" collapsed="false">
      <c r="A29" s="50" t="s">
        <v>193</v>
      </c>
      <c r="B29" s="50"/>
      <c r="C29" s="53" t="n">
        <v>0.1</v>
      </c>
      <c r="D29" s="29" t="s">
        <v>161</v>
      </c>
      <c r="E29" s="35" t="s">
        <v>175</v>
      </c>
    </row>
    <row r="30" customFormat="false" ht="15" hidden="false" customHeight="true" outlineLevel="0" collapsed="false">
      <c r="A30" s="50" t="s">
        <v>194</v>
      </c>
      <c r="B30" s="50"/>
      <c r="C30" s="53" t="n">
        <v>0.1</v>
      </c>
      <c r="D30" s="29" t="s">
        <v>161</v>
      </c>
      <c r="E30" s="35" t="s">
        <v>175</v>
      </c>
    </row>
    <row r="31" customFormat="false" ht="15" hidden="false" customHeight="true" outlineLevel="0" collapsed="false">
      <c r="A31" s="50" t="s">
        <v>195</v>
      </c>
      <c r="B31" s="50"/>
      <c r="C31" s="55" t="n">
        <v>0.1</v>
      </c>
      <c r="D31" s="29" t="s">
        <v>161</v>
      </c>
      <c r="E31" s="35" t="s">
        <v>196</v>
      </c>
    </row>
    <row r="32" customFormat="false" ht="15" hidden="false" customHeight="true" outlineLevel="0" collapsed="false">
      <c r="A32" s="50" t="s">
        <v>197</v>
      </c>
      <c r="B32" s="50"/>
      <c r="C32" s="32" t="n">
        <v>122.9</v>
      </c>
      <c r="D32" s="29" t="s">
        <v>198</v>
      </c>
      <c r="E32" s="35" t="s">
        <v>199</v>
      </c>
    </row>
    <row r="33" customFormat="false" ht="15" hidden="false" customHeight="true" outlineLevel="0" collapsed="false">
      <c r="A33" s="49" t="s">
        <v>200</v>
      </c>
    </row>
    <row r="34" customFormat="false" ht="15" hidden="false" customHeight="true" outlineLevel="0" collapsed="false">
      <c r="A34" s="50" t="s">
        <v>201</v>
      </c>
      <c r="B34" s="50"/>
      <c r="C34" s="56" t="n">
        <v>25000000</v>
      </c>
      <c r="D34" s="29" t="s">
        <v>202</v>
      </c>
      <c r="E34" s="35" t="s">
        <v>203</v>
      </c>
    </row>
    <row r="35" customFormat="false" ht="15" hidden="false" customHeight="true" outlineLevel="0" collapsed="false">
      <c r="A35" s="50" t="s">
        <v>204</v>
      </c>
      <c r="B35" s="50"/>
      <c r="C35" s="56" t="n">
        <v>40000000</v>
      </c>
      <c r="D35" s="29" t="s">
        <v>202</v>
      </c>
      <c r="E35" s="35" t="s">
        <v>205</v>
      </c>
    </row>
    <row r="36" customFormat="false" ht="15" hidden="false" customHeight="true" outlineLevel="0" collapsed="false">
      <c r="A36" s="50" t="s">
        <v>206</v>
      </c>
      <c r="B36" s="50"/>
      <c r="C36" s="53" t="n">
        <v>0.02</v>
      </c>
      <c r="D36" s="29" t="s">
        <v>161</v>
      </c>
      <c r="E36" s="35" t="s">
        <v>207</v>
      </c>
    </row>
    <row r="37" customFormat="false" ht="15" hidden="false" customHeight="true" outlineLevel="0" collapsed="false">
      <c r="A37" s="50" t="s">
        <v>208</v>
      </c>
      <c r="B37" s="50"/>
      <c r="C37" s="53" t="n">
        <v>0.05</v>
      </c>
      <c r="D37" s="29" t="s">
        <v>161</v>
      </c>
      <c r="E37" s="35" t="s">
        <v>209</v>
      </c>
    </row>
    <row r="39" customFormat="false" ht="15" hidden="false" customHeight="true" outlineLevel="0" collapsed="false">
      <c r="A39" s="49" t="s">
        <v>210</v>
      </c>
    </row>
    <row r="40" customFormat="false" ht="15" hidden="false" customHeight="true" outlineLevel="0" collapsed="false">
      <c r="A40" s="50" t="s">
        <v>211</v>
      </c>
      <c r="B40" s="50"/>
      <c r="C40" s="39" t="n">
        <v>1</v>
      </c>
      <c r="D40" s="3" t="s">
        <v>142</v>
      </c>
      <c r="E40" s="14" t="s">
        <v>212</v>
      </c>
    </row>
    <row r="41" customFormat="false" ht="15" hidden="false" customHeight="false" outlineLevel="0" collapsed="false">
      <c r="A41" s="57" t="s">
        <v>213</v>
      </c>
      <c r="B41" s="57"/>
      <c r="C41" s="39" t="n">
        <v>2560.25</v>
      </c>
      <c r="D41" s="3" t="s">
        <v>145</v>
      </c>
      <c r="E41" s="14" t="s">
        <v>214</v>
      </c>
    </row>
    <row r="42" customFormat="false" ht="15" hidden="false" customHeight="false" outlineLevel="0" collapsed="false">
      <c r="A42" s="57" t="s">
        <v>215</v>
      </c>
      <c r="B42" s="57"/>
      <c r="C42" s="58" t="n">
        <v>0.275889</v>
      </c>
      <c r="D42" s="3" t="s">
        <v>216</v>
      </c>
      <c r="E42" s="14" t="s">
        <v>217</v>
      </c>
    </row>
    <row r="44" customFormat="false" ht="15" hidden="false" customHeight="false" outlineLevel="0" collapsed="false">
      <c r="A44" s="14" t="s">
        <v>218</v>
      </c>
    </row>
    <row r="45" customFormat="false" ht="15" hidden="false" customHeight="false" outlineLevel="0" collapsed="false">
      <c r="A45" s="14" t="s">
        <v>219</v>
      </c>
    </row>
  </sheetData>
  <mergeCells count="31">
    <mergeCell ref="A3:B3"/>
    <mergeCell ref="A5:B5"/>
    <mergeCell ref="A6:B6"/>
    <mergeCell ref="A7:B7"/>
    <mergeCell ref="A9:B9"/>
    <mergeCell ref="A10:B10"/>
    <mergeCell ref="A11:B11"/>
    <mergeCell ref="A12:B12"/>
    <mergeCell ref="A13:B13"/>
    <mergeCell ref="A14:B14"/>
    <mergeCell ref="A16:B16"/>
    <mergeCell ref="A17:B17"/>
    <mergeCell ref="A18:B18"/>
    <mergeCell ref="A19:B19"/>
    <mergeCell ref="A21:B21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34:B34"/>
    <mergeCell ref="A35:B35"/>
    <mergeCell ref="A36:B36"/>
    <mergeCell ref="A37:B37"/>
    <mergeCell ref="A40:B40"/>
    <mergeCell ref="A41:B41"/>
    <mergeCell ref="A42:B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28" width="34"/>
    <col collapsed="false" customWidth="true" hidden="false" outlineLevel="0" max="2" min="2" style="28" width="15"/>
    <col collapsed="false" customWidth="true" hidden="false" outlineLevel="0" max="3" min="3" style="28" width="9"/>
    <col collapsed="false" customWidth="true" hidden="false" outlineLevel="0" max="4" min="4" style="28" width="10"/>
    <col collapsed="false" customWidth="true" hidden="false" outlineLevel="0" max="5" min="5" style="28" width="8"/>
    <col collapsed="false" customWidth="true" hidden="false" outlineLevel="0" max="7" min="6" style="28" width="10"/>
    <col collapsed="false" customWidth="true" hidden="false" outlineLevel="0" max="9" min="8" style="28" width="9"/>
    <col collapsed="false" customWidth="true" hidden="false" outlineLevel="0" max="10" min="10" style="28" width="10"/>
    <col collapsed="false" customWidth="true" hidden="false" outlineLevel="0" max="11" min="11" style="28" width="16"/>
    <col collapsed="false" customWidth="true" hidden="false" outlineLevel="0" max="12" min="12" style="28" width="11"/>
    <col collapsed="false" customWidth="true" hidden="false" outlineLevel="0" max="13" min="13" style="28" width="14"/>
    <col collapsed="false" customWidth="true" hidden="false" outlineLevel="0" max="14" min="14" style="28" width="16"/>
  </cols>
  <sheetData>
    <row r="1" customFormat="false" ht="17.25" hidden="false" customHeight="true" outlineLevel="0" collapsed="false">
      <c r="A1" s="46" t="s">
        <v>220</v>
      </c>
    </row>
    <row r="3" customFormat="false" ht="45" hidden="false" customHeight="true" outlineLevel="0" collapsed="false">
      <c r="A3" s="59" t="s">
        <v>58</v>
      </c>
      <c r="B3" s="59" t="s">
        <v>22</v>
      </c>
      <c r="C3" s="59" t="s">
        <v>221</v>
      </c>
      <c r="D3" s="59" t="s">
        <v>222</v>
      </c>
      <c r="E3" s="59" t="s">
        <v>83</v>
      </c>
      <c r="F3" s="59" t="s">
        <v>94</v>
      </c>
      <c r="G3" s="59" t="s">
        <v>88</v>
      </c>
      <c r="H3" s="59" t="s">
        <v>89</v>
      </c>
      <c r="I3" s="59" t="s">
        <v>90</v>
      </c>
      <c r="J3" s="59" t="s">
        <v>223</v>
      </c>
      <c r="K3" s="59" t="s">
        <v>224</v>
      </c>
      <c r="L3" s="59" t="s">
        <v>225</v>
      </c>
      <c r="M3" s="59" t="s">
        <v>226</v>
      </c>
      <c r="N3" s="59" t="s">
        <v>227</v>
      </c>
    </row>
    <row r="4" customFormat="false" ht="15" hidden="false" customHeight="true" outlineLevel="0" collapsed="false">
      <c r="A4" s="60" t="s">
        <v>228</v>
      </c>
      <c r="B4" s="60" t="s">
        <v>229</v>
      </c>
      <c r="C4" s="61" t="n">
        <f aca="false">'Sweep A'!M2</f>
        <v>4</v>
      </c>
      <c r="D4" s="62" t="n">
        <f aca="false">'Unit Rates'!$C$5/(C4-1)</f>
        <v>10</v>
      </c>
      <c r="E4" s="61" t="n">
        <f aca="false">'Sweep A'!C2</f>
        <v>20</v>
      </c>
      <c r="F4" s="61" t="n">
        <f aca="false">'Sweep A'!D2</f>
        <v>9</v>
      </c>
      <c r="G4" s="61" t="n">
        <f aca="false">'Sweep A'!I2</f>
        <v>887.516</v>
      </c>
      <c r="H4" s="61" t="n">
        <f aca="false">'Sweep A'!J2</f>
        <v>163.9</v>
      </c>
      <c r="I4" s="63" t="str">
        <f aca="false">'Sweep A'!K2</f>
        <v>FAIL</v>
      </c>
      <c r="J4" s="64" t="n">
        <f aca="false">'Sweep A'!U2</f>
        <v>-0.100331023196419</v>
      </c>
      <c r="K4" s="65" t="n">
        <f aca="false">'Sweep A'!L2</f>
        <v>977774.0328</v>
      </c>
      <c r="L4" s="65" t="n">
        <f aca="false">'Sweep A'!V2</f>
        <v>7955.85055166802</v>
      </c>
      <c r="M4" s="66" t="str">
        <f aca="false">IF(I4="PASS",COUNTIFS($I$4:$I$13,"PASS",$K$4:$K$13,"&lt;"&amp;K4)+1,"–")</f>
        <v>–</v>
      </c>
      <c r="N4" s="67" t="str">
        <f aca="false">IF(I4="PASS",K4-$K$15,"–")</f>
        <v>–</v>
      </c>
    </row>
    <row r="5" customFormat="false" ht="15" hidden="false" customHeight="true" outlineLevel="0" collapsed="false">
      <c r="A5" s="60" t="s">
        <v>230</v>
      </c>
      <c r="B5" s="60" t="s">
        <v>231</v>
      </c>
      <c r="C5" s="61" t="n">
        <f aca="false">'Sweep A'!M3</f>
        <v>4</v>
      </c>
      <c r="D5" s="62" t="n">
        <f aca="false">'Unit Rates'!$C$5/(C5-1)</f>
        <v>10</v>
      </c>
      <c r="E5" s="61" t="n">
        <f aca="false">'Sweep A'!C3</f>
        <v>20</v>
      </c>
      <c r="F5" s="61" t="n">
        <f aca="false">'Sweep A'!D3</f>
        <v>9</v>
      </c>
      <c r="G5" s="61" t="n">
        <f aca="false">'Sweep A'!I3</f>
        <v>856.141</v>
      </c>
      <c r="H5" s="61" t="n">
        <f aca="false">'Sweep A'!J3</f>
        <v>152.5</v>
      </c>
      <c r="I5" s="63" t="str">
        <f aca="false">'Sweep A'!K3</f>
        <v>FAIL</v>
      </c>
      <c r="J5" s="64" t="n">
        <f aca="false">'Sweep A'!U3</f>
        <v>-0.0614326981489975</v>
      </c>
      <c r="K5" s="65" t="n">
        <f aca="false">'Sweep A'!L3</f>
        <v>977774.0328</v>
      </c>
      <c r="L5" s="65" t="n">
        <f aca="false">'Sweep A'!V3</f>
        <v>7955.85055166802</v>
      </c>
      <c r="M5" s="66" t="str">
        <f aca="false">IF(I5="PASS",COUNTIFS($I$4:$I$13,"PASS",$K$4:$K$13,"&lt;"&amp;K5)+1,"–")</f>
        <v>–</v>
      </c>
      <c r="N5" s="67" t="str">
        <f aca="false">IF(I5="PASS",K5-$K$15,"–")</f>
        <v>–</v>
      </c>
    </row>
    <row r="6" customFormat="false" ht="15" hidden="false" customHeight="true" outlineLevel="0" collapsed="false">
      <c r="A6" s="60" t="s">
        <v>232</v>
      </c>
      <c r="B6" s="60" t="s">
        <v>233</v>
      </c>
      <c r="C6" s="61" t="n">
        <f aca="false">'Sweep A'!M4</f>
        <v>5</v>
      </c>
      <c r="D6" s="62" t="n">
        <f aca="false">'Unit Rates'!$C$5/(C6-1)</f>
        <v>7.5</v>
      </c>
      <c r="E6" s="61" t="n">
        <f aca="false">'Sweep A'!C4</f>
        <v>20</v>
      </c>
      <c r="F6" s="61" t="n">
        <f aca="false">'Sweep A'!D4</f>
        <v>9</v>
      </c>
      <c r="G6" s="61" t="n">
        <f aca="false">'Sweep A'!I4</f>
        <v>751.441</v>
      </c>
      <c r="H6" s="61" t="n">
        <f aca="false">'Sweep A'!J4</f>
        <v>128.89</v>
      </c>
      <c r="I6" s="63" t="str">
        <f aca="false">'Sweep A'!K4</f>
        <v>PASS</v>
      </c>
      <c r="J6" s="64" t="n">
        <f aca="false">'Sweep A'!U4</f>
        <v>0.0683730271885344</v>
      </c>
      <c r="K6" s="65" t="n">
        <f aca="false">'Sweep A'!L4</f>
        <v>1100717.541</v>
      </c>
      <c r="L6" s="65" t="n">
        <f aca="false">'Sweep A'!V4</f>
        <v>8956.20456468674</v>
      </c>
      <c r="M6" s="66" t="n">
        <f aca="false">IF(I6="PASS",COUNTIFS($I$4:$I$13,"PASS",$K$4:$K$13,"&lt;"&amp;K6)+1,"–")</f>
        <v>2</v>
      </c>
      <c r="N6" s="67" t="n">
        <f aca="false">IF(I6="PASS",K6-$K$15,"–")</f>
        <v>8000</v>
      </c>
    </row>
    <row r="7" customFormat="false" ht="15" hidden="false" customHeight="true" outlineLevel="0" collapsed="false">
      <c r="A7" s="68" t="s">
        <v>234</v>
      </c>
      <c r="B7" s="68" t="s">
        <v>235</v>
      </c>
      <c r="C7" s="69" t="n">
        <f aca="false">'Sweep A'!M5</f>
        <v>6</v>
      </c>
      <c r="D7" s="70" t="n">
        <f aca="false">'Unit Rates'!$C$5/(C7-1)</f>
        <v>6</v>
      </c>
      <c r="E7" s="69" t="n">
        <f aca="false">'Sweep A'!C5</f>
        <v>20</v>
      </c>
      <c r="F7" s="69" t="n">
        <f aca="false">'Sweep A'!D5</f>
        <v>9</v>
      </c>
      <c r="G7" s="69" t="n">
        <f aca="false">'Sweep A'!I5</f>
        <v>714.443</v>
      </c>
      <c r="H7" s="69" t="n">
        <f aca="false">'Sweep A'!J5</f>
        <v>111.88</v>
      </c>
      <c r="I7" s="71" t="str">
        <f aca="false">'Sweep A'!K5</f>
        <v>PASS</v>
      </c>
      <c r="J7" s="72" t="n">
        <f aca="false">'Sweep A'!U5</f>
        <v>0.114242675956806</v>
      </c>
      <c r="K7" s="73" t="n">
        <f aca="false">'Sweep A'!L5</f>
        <v>1227661.0492</v>
      </c>
      <c r="L7" s="73" t="n">
        <f aca="false">'Sweep A'!V5</f>
        <v>9989.10536371033</v>
      </c>
      <c r="M7" s="74" t="n">
        <f aca="false">IF(I7="PASS",COUNTIFS($I$4:$I$13,"PASS",$K$4:$K$13,"&lt;"&amp;K7)+1,"–")</f>
        <v>4</v>
      </c>
      <c r="N7" s="75" t="n">
        <f aca="false">IF(I7="PASS",K7-$K$15,"–")</f>
        <v>134943.5082</v>
      </c>
    </row>
    <row r="8" customFormat="false" ht="15" hidden="false" customHeight="true" outlineLevel="0" collapsed="false">
      <c r="A8" s="60" t="s">
        <v>236</v>
      </c>
      <c r="B8" s="60" t="s">
        <v>237</v>
      </c>
      <c r="C8" s="61" t="n">
        <f aca="false">'Sweep A'!M6</f>
        <v>8</v>
      </c>
      <c r="D8" s="62" t="n">
        <f aca="false">'Unit Rates'!$C$5/(C8-1)</f>
        <v>4.28571428571429</v>
      </c>
      <c r="E8" s="61" t="n">
        <f aca="false">'Sweep A'!C6</f>
        <v>20</v>
      </c>
      <c r="F8" s="61" t="n">
        <f aca="false">'Sweep A'!D6</f>
        <v>9</v>
      </c>
      <c r="G8" s="61" t="n">
        <f aca="false">'Sweep A'!I6</f>
        <v>654.096</v>
      </c>
      <c r="H8" s="61" t="n">
        <f aca="false">'Sweep A'!J6</f>
        <v>99.48</v>
      </c>
      <c r="I8" s="63" t="str">
        <f aca="false">'Sweep A'!K6</f>
        <v>PASS</v>
      </c>
      <c r="J8" s="64" t="n">
        <f aca="false">'Sweep A'!U6</f>
        <v>0.189060117283874</v>
      </c>
      <c r="K8" s="65" t="n">
        <f aca="false">'Sweep A'!L6</f>
        <v>1493548.0656</v>
      </c>
      <c r="L8" s="65" t="n">
        <f aca="false">'Sweep A'!V6</f>
        <v>12152.5473197722</v>
      </c>
      <c r="M8" s="66" t="n">
        <f aca="false">IF(I8="PASS",COUNTIFS($I$4:$I$13,"PASS",$K$4:$K$13,"&lt;"&amp;K8)+1,"–")</f>
        <v>5</v>
      </c>
      <c r="N8" s="67" t="n">
        <f aca="false">IF(I8="PASS",K8-$K$15,"–")</f>
        <v>400830.5246</v>
      </c>
    </row>
    <row r="9" customFormat="false" ht="15" hidden="false" customHeight="true" outlineLevel="0" collapsed="false">
      <c r="A9" s="60" t="s">
        <v>238</v>
      </c>
      <c r="B9" s="60" t="s">
        <v>239</v>
      </c>
      <c r="C9" s="61" t="n">
        <f aca="false">'Sweep A'!M7</f>
        <v>10</v>
      </c>
      <c r="D9" s="62" t="n">
        <f aca="false">'Unit Rates'!$C$5/(C9-1)</f>
        <v>3.33333333333333</v>
      </c>
      <c r="E9" s="61" t="n">
        <f aca="false">'Sweep A'!C7</f>
        <v>20</v>
      </c>
      <c r="F9" s="61" t="n">
        <f aca="false">'Sweep A'!D7</f>
        <v>9</v>
      </c>
      <c r="G9" s="61" t="n">
        <f aca="false">'Sweep A'!I7</f>
        <v>634.313</v>
      </c>
      <c r="H9" s="61" t="n">
        <f aca="false">'Sweep A'!J7</f>
        <v>99.38</v>
      </c>
      <c r="I9" s="63" t="str">
        <f aca="false">'Sweep A'!K7</f>
        <v>PASS</v>
      </c>
      <c r="J9" s="64" t="n">
        <f aca="false">'Sweep A'!U7</f>
        <v>0.213586828500229</v>
      </c>
      <c r="K9" s="65" t="n">
        <f aca="false">'Sweep A'!L7</f>
        <v>1775435.082</v>
      </c>
      <c r="L9" s="65" t="n">
        <f aca="false">'Sweep A'!V7</f>
        <v>14446.1764198535</v>
      </c>
      <c r="M9" s="66" t="n">
        <f aca="false">IF(I9="PASS",COUNTIFS($I$4:$I$13,"PASS",$K$4:$K$13,"&lt;"&amp;K9)+1,"–")</f>
        <v>6</v>
      </c>
      <c r="N9" s="67" t="n">
        <f aca="false">IF(I9="PASS",K9-$K$15,"–")</f>
        <v>682717.541</v>
      </c>
    </row>
    <row r="10" customFormat="false" ht="15" hidden="false" customHeight="true" outlineLevel="0" collapsed="false">
      <c r="A10" s="60" t="s">
        <v>240</v>
      </c>
      <c r="B10" s="60" t="s">
        <v>241</v>
      </c>
      <c r="C10" s="61" t="n">
        <f aca="false">'Sweep B'!M3</f>
        <v>5</v>
      </c>
      <c r="D10" s="62" t="n">
        <f aca="false">'Unit Rates'!$C$5/(C10-1)</f>
        <v>7.5</v>
      </c>
      <c r="E10" s="61" t="n">
        <f aca="false">'Sweep B'!C3</f>
        <v>16</v>
      </c>
      <c r="F10" s="61" t="n">
        <f aca="false">'Sweep B'!D3</f>
        <v>9</v>
      </c>
      <c r="G10" s="61" t="n">
        <f aca="false">'Sweep B'!I3</f>
        <v>836.451</v>
      </c>
      <c r="H10" s="61" t="n">
        <f aca="false">'Sweep B'!J3</f>
        <v>142.45</v>
      </c>
      <c r="I10" s="63" t="str">
        <f aca="false">'Sweep B'!K3</f>
        <v>FAIL</v>
      </c>
      <c r="J10" s="64" t="n">
        <f aca="false">'Sweep B'!U3</f>
        <v>-0.0370212871471255</v>
      </c>
      <c r="K10" s="65" t="n">
        <f aca="false">'Sweep B'!L3</f>
        <v>995517.541</v>
      </c>
      <c r="L10" s="65" t="n">
        <f aca="false">'Sweep B'!V3</f>
        <v>8100.22409275834</v>
      </c>
      <c r="M10" s="66" t="str">
        <f aca="false">IF(I10="PASS",COUNTIFS($I$4:$I$13,"PASS",$K$4:$K$13,"&lt;"&amp;K10)+1,"–")</f>
        <v>–</v>
      </c>
      <c r="N10" s="67" t="str">
        <f aca="false">IF(I10="PASS",K10-$K$15,"–")</f>
        <v>–</v>
      </c>
    </row>
    <row r="11" customFormat="false" ht="15" hidden="false" customHeight="true" outlineLevel="0" collapsed="false">
      <c r="A11" s="60" t="s">
        <v>242</v>
      </c>
      <c r="B11" s="60" t="s">
        <v>243</v>
      </c>
      <c r="C11" s="61" t="n">
        <f aca="false">'Sweep B'!M4</f>
        <v>5</v>
      </c>
      <c r="D11" s="62" t="n">
        <f aca="false">'Unit Rates'!$C$5/(C11-1)</f>
        <v>7.5</v>
      </c>
      <c r="E11" s="61" t="n">
        <f aca="false">'Sweep B'!C4</f>
        <v>24</v>
      </c>
      <c r="F11" s="61" t="n">
        <f aca="false">'Sweep B'!D4</f>
        <v>9</v>
      </c>
      <c r="G11" s="61" t="n">
        <f aca="false">'Sweep B'!I4</f>
        <v>706.932</v>
      </c>
      <c r="H11" s="61" t="n">
        <f aca="false">'Sweep B'!J4</f>
        <v>118.55</v>
      </c>
      <c r="I11" s="63" t="str">
        <f aca="false">'Sweep B'!K4</f>
        <v>PASS</v>
      </c>
      <c r="J11" s="64" t="n">
        <f aca="false">'Sweep B'!U4</f>
        <v>0.123554718010389</v>
      </c>
      <c r="K11" s="65" t="n">
        <f aca="false">'Sweep B'!L4</f>
        <v>1205917.541</v>
      </c>
      <c r="L11" s="65" t="n">
        <f aca="false">'Sweep B'!V4</f>
        <v>9812.18503661514</v>
      </c>
      <c r="M11" s="66" t="n">
        <f aca="false">IF(I11="PASS",COUNTIFS($I$4:$I$13,"PASS",$K$4:$K$13,"&lt;"&amp;K11)+1,"–")</f>
        <v>3</v>
      </c>
      <c r="N11" s="67" t="n">
        <f aca="false">IF(I11="PASS",K11-$K$15,"–")</f>
        <v>113200</v>
      </c>
    </row>
    <row r="12" customFormat="false" ht="15" hidden="false" customHeight="true" outlineLevel="0" collapsed="false">
      <c r="A12" s="60" t="s">
        <v>244</v>
      </c>
      <c r="B12" s="60" t="s">
        <v>245</v>
      </c>
      <c r="C12" s="61" t="n">
        <f aca="false">'Sweep c'!M3</f>
        <v>5</v>
      </c>
      <c r="D12" s="62" t="n">
        <f aca="false">'Unit Rates'!$C$5/(C12-1)</f>
        <v>7.5</v>
      </c>
      <c r="E12" s="61" t="n">
        <f aca="false">'Sweep c'!C3</f>
        <v>20</v>
      </c>
      <c r="F12" s="61" t="n">
        <f aca="false">'Sweep c'!D3</f>
        <v>8</v>
      </c>
      <c r="G12" s="61" t="n">
        <f aca="false">'Sweep c'!I3</f>
        <v>792.355</v>
      </c>
      <c r="H12" s="61" t="n">
        <f aca="false">'Sweep c'!J3</f>
        <v>139.39</v>
      </c>
      <c r="I12" s="63" t="str">
        <f aca="false">'Sweep c'!K3</f>
        <v>PASS</v>
      </c>
      <c r="J12" s="64" t="n">
        <f aca="false">'Sweep c'!U3</f>
        <v>0.0176483715394438</v>
      </c>
      <c r="K12" s="65" t="n">
        <f aca="false">'Sweep c'!L3</f>
        <v>1092717.541</v>
      </c>
      <c r="L12" s="65" t="n">
        <f aca="false">'Sweep c'!V3</f>
        <v>8891.11099267698</v>
      </c>
      <c r="M12" s="66" t="n">
        <f aca="false">IF(I12="PASS",COUNTIFS($I$4:$I$13,"PASS",$K$4:$K$13,"&lt;"&amp;K12)+1,"–")</f>
        <v>1</v>
      </c>
      <c r="N12" s="67" t="n">
        <f aca="false">IF(I12="PASS",K12-$K$15,"–")</f>
        <v>0</v>
      </c>
    </row>
    <row r="13" customFormat="false" ht="15" hidden="false" customHeight="true" outlineLevel="0" collapsed="false">
      <c r="A13" s="60" t="s">
        <v>246</v>
      </c>
      <c r="B13" s="60" t="s">
        <v>247</v>
      </c>
      <c r="C13" s="61" t="n">
        <f aca="false">'Sweep c'!M4</f>
        <v>5</v>
      </c>
      <c r="D13" s="62" t="n">
        <f aca="false">'Unit Rates'!$C$5/(C13-1)</f>
        <v>7.5</v>
      </c>
      <c r="E13" s="61" t="n">
        <f aca="false">'Sweep c'!C4</f>
        <v>20</v>
      </c>
      <c r="F13" s="61" t="n">
        <f aca="false">'Sweep c'!D4</f>
        <v>7</v>
      </c>
      <c r="G13" s="61" t="n">
        <f aca="false">'Sweep c'!I4</f>
        <v>839.528</v>
      </c>
      <c r="H13" s="61" t="n">
        <f aca="false">'Sweep c'!J4</f>
        <v>150.84</v>
      </c>
      <c r="I13" s="63" t="str">
        <f aca="false">'Sweep c'!K4</f>
        <v>FAIL</v>
      </c>
      <c r="J13" s="64" t="n">
        <f aca="false">'Sweep c'!U4</f>
        <v>-0.040836112523091</v>
      </c>
      <c r="K13" s="65" t="n">
        <f aca="false">'Sweep c'!L4</f>
        <v>1084717.541</v>
      </c>
      <c r="L13" s="65" t="n">
        <f aca="false">'Sweep c'!V4</f>
        <v>8826.01742066721</v>
      </c>
      <c r="M13" s="66" t="str">
        <f aca="false">IF(I13="PASS",COUNTIFS($I$4:$I$13,"PASS",$K$4:$K$13,"&lt;"&amp;K13)+1,"–")</f>
        <v>–</v>
      </c>
      <c r="N13" s="67" t="str">
        <f aca="false">IF(I13="PASS",K13-$K$15,"–")</f>
        <v>–</v>
      </c>
    </row>
    <row r="15" customFormat="false" ht="15" hidden="false" customHeight="true" outlineLevel="0" collapsed="false">
      <c r="J15" s="49" t="s">
        <v>248</v>
      </c>
      <c r="K15" s="76" t="n">
        <f aca="false">_xlfn.MINIFS(K4:K13,I4:I13,"PASS")</f>
        <v>1092717.541</v>
      </c>
    </row>
    <row r="17" customFormat="false" ht="15" hidden="false" customHeight="true" outlineLevel="0" collapsed="false">
      <c r="A17" s="35" t="s">
        <v>249</v>
      </c>
    </row>
    <row r="18" customFormat="false" ht="15" hidden="false" customHeight="true" outlineLevel="0" collapsed="false">
      <c r="A18" s="35" t="s">
        <v>250</v>
      </c>
    </row>
    <row r="19" customFormat="false" ht="15" hidden="false" customHeight="true" outlineLevel="0" collapsed="false">
      <c r="A19" s="35" t="s">
        <v>251</v>
      </c>
    </row>
    <row r="20" customFormat="false" ht="15" hidden="false" customHeight="false" outlineLevel="0" collapsed="false">
      <c r="A20" s="14" t="s">
        <v>252</v>
      </c>
    </row>
  </sheetData>
  <conditionalFormatting sqref="I4:I13">
    <cfRule type="cellIs" priority="2" operator="equal" aboveAverage="0" equalAverage="0" bottom="0" percent="0" rank="0" text="" dxfId="2">
      <formula>"PASS"</formula>
    </cfRule>
    <cfRule type="cellIs" priority="3" operator="equal" aboveAverage="0" equalAverage="0" bottom="0" percent="0" rank="0" text="" dxfId="3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28" width="58"/>
    <col collapsed="false" customWidth="true" hidden="false" outlineLevel="0" max="3" min="2" style="28" width="22"/>
    <col collapsed="false" customWidth="true" hidden="false" outlineLevel="0" max="4" min="4" style="28" width="60"/>
  </cols>
  <sheetData>
    <row r="1" customFormat="false" ht="17.25" hidden="false" customHeight="true" outlineLevel="0" collapsed="false">
      <c r="A1" s="46" t="s">
        <v>253</v>
      </c>
    </row>
    <row r="3" customFormat="false" ht="31.5" hidden="false" customHeight="true" outlineLevel="0" collapsed="false">
      <c r="A3" s="59" t="s">
        <v>254</v>
      </c>
      <c r="B3" s="59" t="s">
        <v>255</v>
      </c>
      <c r="C3" s="59" t="s">
        <v>256</v>
      </c>
      <c r="D3" s="59" t="s">
        <v>257</v>
      </c>
    </row>
    <row r="4" customFormat="false" ht="15" hidden="false" customHeight="true" outlineLevel="0" collapsed="false">
      <c r="A4" s="29" t="s">
        <v>258</v>
      </c>
      <c r="B4" s="77" t="n">
        <f aca="false">'Sweep D'!R3</f>
        <v>895517.93664</v>
      </c>
      <c r="C4" s="77" t="n">
        <f aca="false">'Sweep D'!R4</f>
        <v>783578.19456</v>
      </c>
      <c r="D4" s="35" t="s">
        <v>259</v>
      </c>
    </row>
    <row r="5" customFormat="false" ht="15" hidden="false" customHeight="true" outlineLevel="0" collapsed="false">
      <c r="A5" s="29" t="s">
        <v>260</v>
      </c>
      <c r="B5" s="77" t="n">
        <f aca="false">'Sweep D'!S3</f>
        <v>486000</v>
      </c>
      <c r="C5" s="77" t="n">
        <f aca="false">'Sweep D'!S4</f>
        <v>486000</v>
      </c>
      <c r="D5" s="35" t="s">
        <v>261</v>
      </c>
    </row>
    <row r="6" customFormat="false" ht="15" hidden="false" customHeight="true" outlineLevel="0" collapsed="false">
      <c r="A6" s="29" t="s">
        <v>262</v>
      </c>
      <c r="B6" s="77" t="n">
        <f aca="false">'Sweep D'!T3</f>
        <v>160000</v>
      </c>
      <c r="C6" s="77" t="n">
        <f aca="false">'Sweep D'!T4</f>
        <v>130000</v>
      </c>
      <c r="D6" s="35" t="s">
        <v>263</v>
      </c>
    </row>
    <row r="7" customFormat="false" ht="15" hidden="false" customHeight="true" outlineLevel="0" collapsed="false">
      <c r="A7" s="29" t="s">
        <v>264</v>
      </c>
      <c r="B7" s="31" t="n">
        <f aca="false">(('Unit Rates'!$C$5+2*'Unit Rates'!$C$23)^2*'Unit Rates'!$C$24*35.3147)*('Unit Rates'!$C$25+'Unit Rates'!$C$26)</f>
        <v>903756.14505</v>
      </c>
      <c r="C7" s="31" t="n">
        <f aca="false">(('Unit Rates'!$C$5+2*'Unit Rates'!$C$23)^2*'Unit Rates'!$C$24*35.3147)*('Unit Rates'!$C$25+'Unit Rates'!$C$26)</f>
        <v>903756.14505</v>
      </c>
      <c r="D7" s="35" t="s">
        <v>265</v>
      </c>
    </row>
    <row r="8" customFormat="false" ht="15" hidden="false" customHeight="true" outlineLevel="0" collapsed="false">
      <c r="A8" s="29" t="s">
        <v>266</v>
      </c>
      <c r="B8" s="31" t="n">
        <f aca="false">'Unit Rates'!$C$27</f>
        <v>60000</v>
      </c>
      <c r="C8" s="31" t="n">
        <f aca="false">'Unit Rates'!$C$27</f>
        <v>60000</v>
      </c>
      <c r="D8" s="35" t="s">
        <v>267</v>
      </c>
    </row>
    <row r="9" customFormat="false" ht="15" hidden="false" customHeight="true" outlineLevel="0" collapsed="false">
      <c r="A9" s="49" t="s">
        <v>268</v>
      </c>
      <c r="B9" s="76" t="n">
        <f aca="false">SUM(B4:B8)</f>
        <v>2505274.08169</v>
      </c>
      <c r="C9" s="76" t="n">
        <f aca="false">SUM(C4:C8)</f>
        <v>2363334.33961</v>
      </c>
      <c r="D9" s="35" t="s">
        <v>269</v>
      </c>
    </row>
    <row r="10" customFormat="false" ht="15" hidden="false" customHeight="true" outlineLevel="0" collapsed="false">
      <c r="A10" s="29" t="s">
        <v>193</v>
      </c>
      <c r="B10" s="31" t="n">
        <f aca="false">B9*'Unit Rates'!$C$29</f>
        <v>250527.408169</v>
      </c>
      <c r="C10" s="31" t="n">
        <f aca="false">C9*'Unit Rates'!$C$29</f>
        <v>236333.433961</v>
      </c>
      <c r="D10" s="35" t="s">
        <v>270</v>
      </c>
    </row>
    <row r="11" customFormat="false" ht="15" hidden="false" customHeight="true" outlineLevel="0" collapsed="false">
      <c r="A11" s="29" t="s">
        <v>194</v>
      </c>
      <c r="B11" s="31" t="n">
        <f aca="false">(B9+B10)*'Unit Rates'!$C$30</f>
        <v>275580.1489859</v>
      </c>
      <c r="C11" s="31" t="n">
        <f aca="false">(C9+C10)*'Unit Rates'!$C$30</f>
        <v>259966.7773571</v>
      </c>
      <c r="D11" s="35" t="s">
        <v>271</v>
      </c>
    </row>
    <row r="12" customFormat="false" ht="15" hidden="false" customHeight="true" outlineLevel="0" collapsed="false">
      <c r="A12" s="29" t="s">
        <v>195</v>
      </c>
      <c r="B12" s="31" t="n">
        <f aca="false">(B9+B10+B11)*'Unit Rates'!$C$31</f>
        <v>303138.16388449</v>
      </c>
      <c r="C12" s="31" t="n">
        <f aca="false">(C9+C10+C11)*'Unit Rates'!$C$31</f>
        <v>285963.45509281</v>
      </c>
      <c r="D12" s="35" t="s">
        <v>272</v>
      </c>
    </row>
    <row r="13" customFormat="false" ht="15" hidden="false" customHeight="true" outlineLevel="0" collapsed="false">
      <c r="A13" s="49" t="s">
        <v>273</v>
      </c>
      <c r="B13" s="76" t="n">
        <f aca="false">B9+B10+B11+B12</f>
        <v>3334519.80272939</v>
      </c>
      <c r="C13" s="76" t="n">
        <f aca="false">C9+C10+C11+C12</f>
        <v>3145598.00602091</v>
      </c>
      <c r="D13" s="35"/>
    </row>
    <row r="14" customFormat="false" ht="15" hidden="false" customHeight="true" outlineLevel="0" collapsed="false">
      <c r="A14" s="49" t="s">
        <v>274</v>
      </c>
      <c r="B14" s="76" t="n">
        <f aca="false">B13/'Unit Rates'!$C$32</f>
        <v>27131.9756121187</v>
      </c>
      <c r="C14" s="76" t="n">
        <f aca="false">C13/'Unit Rates'!$C$32</f>
        <v>25594.7762898365</v>
      </c>
      <c r="D14" s="35"/>
    </row>
    <row r="15" customFormat="false" ht="15" hidden="false" customHeight="true" outlineLevel="0" collapsed="false">
      <c r="A15" s="49" t="s">
        <v>275</v>
      </c>
      <c r="B15" s="78" t="n">
        <f aca="false">B13/100000</f>
        <v>33.3451980272939</v>
      </c>
      <c r="C15" s="78" t="n">
        <f aca="false">C13/100000</f>
        <v>31.4559800602091</v>
      </c>
      <c r="D15" s="35"/>
    </row>
    <row r="17" customFormat="false" ht="15" hidden="false" customHeight="true" outlineLevel="0" collapsed="false">
      <c r="A17" s="49" t="s">
        <v>276</v>
      </c>
      <c r="B17" s="76" t="n">
        <f aca="false">(SUM(B4:B6)+B8)*(1+'Unit Rates'!$C$29)*(1+'Unit Rates'!$C$30)*(1+'Unit Rates'!$C$31)</f>
        <v>2131620.37366784</v>
      </c>
      <c r="C17" s="76" t="n">
        <f aca="false">(SUM(C4:C6)+C8)*(1+'Unit Rates'!$C$29)*(1+'Unit Rates'!$C$30)*(1+'Unit Rates'!$C$31)</f>
        <v>1942698.57695936</v>
      </c>
      <c r="D17" s="35" t="s">
        <v>277</v>
      </c>
    </row>
    <row r="19" customFormat="false" ht="15" hidden="false" customHeight="true" outlineLevel="0" collapsed="false">
      <c r="A19" s="49" t="s">
        <v>278</v>
      </c>
    </row>
    <row r="20" customFormat="false" ht="15" hidden="false" customHeight="true" outlineLevel="0" collapsed="false">
      <c r="A20" s="29" t="s">
        <v>279</v>
      </c>
      <c r="B20" s="77" t="n">
        <f aca="false">'Unit Rates'!$C$34</f>
        <v>25000000</v>
      </c>
      <c r="D20" s="35" t="s">
        <v>280</v>
      </c>
    </row>
    <row r="21" customFormat="false" ht="15" hidden="false" customHeight="true" outlineLevel="0" collapsed="false">
      <c r="A21" s="29" t="s">
        <v>281</v>
      </c>
      <c r="B21" s="77" t="n">
        <f aca="false">'Unit Rates'!$C$35</f>
        <v>40000000</v>
      </c>
      <c r="D21" s="35" t="s">
        <v>280</v>
      </c>
    </row>
    <row r="22" customFormat="false" ht="15" hidden="false" customHeight="true" outlineLevel="0" collapsed="false">
      <c r="A22" s="29" t="s">
        <v>282</v>
      </c>
      <c r="B22" s="77" t="n">
        <f aca="false">'Unit Rates'!$C$34*'Unit Rates'!$C$36</f>
        <v>500000</v>
      </c>
      <c r="D22" s="35" t="s">
        <v>283</v>
      </c>
    </row>
    <row r="23" customFormat="false" ht="15" hidden="false" customHeight="true" outlineLevel="0" collapsed="false">
      <c r="A23" s="29" t="s">
        <v>284</v>
      </c>
      <c r="B23" s="77" t="n">
        <f aca="false">'Unit Rates'!$C$35*'Unit Rates'!$C$37</f>
        <v>2000000</v>
      </c>
      <c r="D23" s="35" t="s">
        <v>283</v>
      </c>
    </row>
    <row r="24" customFormat="false" ht="15" hidden="false" customHeight="true" outlineLevel="0" collapsed="false">
      <c r="A24" s="29" t="s">
        <v>285</v>
      </c>
      <c r="B24" s="77" t="n">
        <f aca="false">AVERAGE(B22,B23)</f>
        <v>1250000</v>
      </c>
      <c r="D24" s="35" t="s">
        <v>286</v>
      </c>
    </row>
    <row r="26" customFormat="false" ht="15" hidden="false" customHeight="true" outlineLevel="0" collapsed="false">
      <c r="A26" s="49" t="s">
        <v>287</v>
      </c>
    </row>
    <row r="27" customFormat="false" ht="15" hidden="false" customHeight="true" outlineLevel="0" collapsed="false">
      <c r="A27" s="29" t="s">
        <v>288</v>
      </c>
      <c r="B27" s="79" t="n">
        <f aca="false">B13/$B$24-1</f>
        <v>1.66761584218351</v>
      </c>
      <c r="C27" s="79" t="n">
        <f aca="false">C13/$B$24-1</f>
        <v>1.51647840481673</v>
      </c>
    </row>
    <row r="28" customFormat="false" ht="15" hidden="false" customHeight="true" outlineLevel="0" collapsed="false">
      <c r="A28" s="29" t="s">
        <v>289</v>
      </c>
      <c r="B28" s="29" t="str">
        <f aca="false">IF(AND(B13&gt;=$B$22,B13&lt;=$B$23),"Within range",IF(B13&lt;$B$22,"Below range","Above range"))</f>
        <v>Above range</v>
      </c>
      <c r="C28" s="29" t="str">
        <f aca="false">IF(AND(C13&gt;=$B$22,C13&lt;=$B$23),"Within range",IF(C13&lt;$B$22,"Below range","Above range"))</f>
        <v>Above range</v>
      </c>
    </row>
    <row r="29" customFormat="false" ht="15" hidden="false" customHeight="true" outlineLevel="0" collapsed="false">
      <c r="A29" s="29" t="s">
        <v>290</v>
      </c>
      <c r="B29" s="79" t="n">
        <f aca="false">B17/$B$24-1</f>
        <v>0.705296298934273</v>
      </c>
      <c r="C29" s="79" t="n">
        <f aca="false">C17/$B$24-1</f>
        <v>0.554158861567489</v>
      </c>
    </row>
    <row r="30" customFormat="false" ht="15" hidden="false" customHeight="true" outlineLevel="0" collapsed="false">
      <c r="A30" s="29" t="s">
        <v>291</v>
      </c>
      <c r="B30" s="29" t="str">
        <f aca="false">IF(AND(B17&gt;=$B$22,B17&lt;=$B$23),"Within range",IF(B17&lt;$B$22,"Below range","Above range"))</f>
        <v>Above range</v>
      </c>
      <c r="C30" s="29" t="str">
        <f aca="false">IF(AND(C17&gt;=$B$22,C17&lt;=$B$23),"Within range",IF(C17&lt;$B$22,"Below range","Above range"))</f>
        <v>Within range</v>
      </c>
    </row>
    <row r="31" customFormat="false" ht="15" hidden="false" customHeight="true" outlineLevel="0" collapsed="false">
      <c r="A31" s="29" t="s">
        <v>292</v>
      </c>
      <c r="B31" s="80" t="n">
        <f aca="false">B13/AVERAGE('Unit Rates'!$C$34,'Unit Rates'!$C$35)</f>
        <v>0.10260060931475</v>
      </c>
      <c r="C31" s="80" t="n">
        <f aca="false">C13/AVERAGE('Unit Rates'!$C$34,'Unit Rates'!$C$35)</f>
        <v>0.0967876309544895</v>
      </c>
    </row>
    <row r="34" customFormat="false" ht="15" hidden="false" customHeight="true" outlineLevel="0" collapsed="false">
      <c r="A34" s="35" t="s">
        <v>293</v>
      </c>
    </row>
    <row r="35" customFormat="false" ht="15" hidden="false" customHeight="true" outlineLevel="0" collapsed="false">
      <c r="A35" s="35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2026-09-10T16:44:32Z</dcterms:created>
  <dc:creator>User</dc:creator>
  <dc:description/>
  <dc:language>en-US</dc:language>
  <cp:lastModifiedBy>User</cp:lastModifiedBy>
  <dcterms:modified xsi:type="dcterms:W3CDTF">2026-09-24T14:52:51Z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